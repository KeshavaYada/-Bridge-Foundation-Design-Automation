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\project\excels\"/>
    </mc:Choice>
  </mc:AlternateContent>
  <bookViews>
    <workbookView xWindow="-120" yWindow="-120" windowWidth="20730" windowHeight="11160"/>
  </bookViews>
  <sheets>
    <sheet name="Design" sheetId="1" r:id="rId1"/>
    <sheet name="References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B19" i="1" l="1"/>
  <c r="B18" i="1"/>
  <c r="L39" i="1" l="1"/>
  <c r="I31" i="1"/>
  <c r="B14" i="2" l="1"/>
  <c r="B13" i="2"/>
  <c r="E32" i="1"/>
  <c r="E31" i="1"/>
  <c r="J28" i="2"/>
  <c r="G28" i="2"/>
  <c r="D30" i="2"/>
  <c r="D28" i="2"/>
  <c r="D21" i="2"/>
  <c r="B31" i="1"/>
  <c r="B10" i="2"/>
  <c r="J21" i="2"/>
  <c r="G21" i="2"/>
  <c r="D23" i="2"/>
  <c r="E5" i="1"/>
  <c r="E12" i="1" s="1"/>
  <c r="B14" i="1"/>
  <c r="B16" i="1" l="1"/>
  <c r="B26" i="1"/>
  <c r="B28" i="1" s="1"/>
  <c r="A20" i="1" l="1"/>
  <c r="B25" i="1"/>
  <c r="B27" i="1" s="1"/>
  <c r="B29" i="1" l="1"/>
  <c r="B3" i="2" l="1"/>
  <c r="B2" i="2"/>
  <c r="B30" i="1" s="1"/>
  <c r="B33" i="1" s="1"/>
  <c r="H14" i="1" s="1"/>
  <c r="F15" i="1" l="1"/>
  <c r="F8" i="1"/>
  <c r="B15" i="2"/>
  <c r="B34" i="1"/>
  <c r="D12" i="1" l="1"/>
  <c r="F12" i="1" s="1"/>
  <c r="D5" i="1"/>
  <c r="F5" i="1" s="1"/>
  <c r="E29" i="1"/>
  <c r="E30" i="1" s="1"/>
  <c r="E33" i="1" s="1"/>
  <c r="E34" i="1" s="1"/>
  <c r="D15" i="1" l="1"/>
  <c r="G12" i="1"/>
  <c r="L8" i="1" s="1"/>
  <c r="G5" i="1"/>
  <c r="M10" i="1" s="1"/>
  <c r="D8" i="1"/>
  <c r="M23" i="1" l="1"/>
  <c r="M26" i="1"/>
  <c r="E24" i="1"/>
  <c r="C29" i="2" s="1"/>
  <c r="D29" i="2" s="1"/>
  <c r="E25" i="1" s="1"/>
  <c r="E26" i="1" s="1"/>
  <c r="E19" i="1"/>
  <c r="C22" i="2" s="1"/>
  <c r="D22" i="2" s="1"/>
  <c r="E20" i="1" s="1"/>
  <c r="E21" i="1" s="1"/>
</calcChain>
</file>

<file path=xl/sharedStrings.xml><?xml version="1.0" encoding="utf-8"?>
<sst xmlns="http://schemas.openxmlformats.org/spreadsheetml/2006/main" count="91" uniqueCount="68">
  <si>
    <t>Size of column</t>
  </si>
  <si>
    <t>Dimension of footing</t>
  </si>
  <si>
    <t>x direction (m)</t>
  </si>
  <si>
    <t>y direction (m)</t>
  </si>
  <si>
    <t>Projection from face of column (L') (m)</t>
  </si>
  <si>
    <t>Length of footing (L) (m)</t>
  </si>
  <si>
    <t>Width of footing (B) (m)</t>
  </si>
  <si>
    <t>Load factor</t>
  </si>
  <si>
    <t>Depth of footing</t>
  </si>
  <si>
    <t>Moment used for design</t>
  </si>
  <si>
    <r>
      <t>Diameter of column main reinforcement φ</t>
    </r>
    <r>
      <rPr>
        <vertAlign val="subscript"/>
        <sz val="12"/>
        <color theme="1"/>
        <rFont val="Times New Roman"/>
        <family val="1"/>
      </rPr>
      <t>1</t>
    </r>
    <r>
      <rPr>
        <sz val="12"/>
        <color theme="1"/>
        <rFont val="Times New Roman"/>
        <family val="1"/>
      </rPr>
      <t xml:space="preserve"> (mm)</t>
    </r>
  </si>
  <si>
    <r>
      <rPr>
        <sz val="12"/>
        <color theme="1"/>
        <rFont val="Times New Roman"/>
        <family val="1"/>
      </rPr>
      <t>(Area of foorting)</t>
    </r>
    <r>
      <rPr>
        <vertAlign val="subscript"/>
        <sz val="12"/>
        <color theme="1"/>
        <rFont val="Times New Roman"/>
        <family val="1"/>
      </rPr>
      <t xml:space="preserve">required  </t>
    </r>
    <r>
      <rPr>
        <sz val="12"/>
        <color theme="1"/>
        <rFont val="Times New Roman"/>
        <family val="1"/>
      </rPr>
      <t>(m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</si>
  <si>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If q</t>
    </r>
    <r>
      <rPr>
        <vertAlign val="subscript"/>
        <sz val="12"/>
        <color theme="1"/>
        <rFont val="Times New Roman"/>
        <family val="1"/>
      </rPr>
      <t>u</t>
    </r>
    <r>
      <rPr>
        <sz val="12"/>
        <color theme="1"/>
        <rFont val="Times New Roman"/>
        <family val="1"/>
      </rPr>
      <t>&gt;SBC</t>
    </r>
  </si>
  <si>
    <r>
      <t>Development length (L</t>
    </r>
    <r>
      <rPr>
        <vertAlign val="subscript"/>
        <sz val="12"/>
        <color theme="1"/>
        <rFont val="Times New Roman"/>
        <family val="1"/>
      </rPr>
      <t>d</t>
    </r>
    <r>
      <rPr>
        <sz val="12"/>
        <color theme="1"/>
        <rFont val="Times New Roman"/>
        <family val="1"/>
      </rPr>
      <t>)</t>
    </r>
  </si>
  <si>
    <r>
      <t>Diameter of footing reinforcement φ</t>
    </r>
    <r>
      <rPr>
        <vertAlign val="sub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 xml:space="preserve"> (mm)</t>
    </r>
  </si>
  <si>
    <t>Clear cover for footing (mm)</t>
  </si>
  <si>
    <r>
      <t>Effective depth (d)</t>
    </r>
    <r>
      <rPr>
        <vertAlign val="subscript"/>
        <sz val="12"/>
        <color theme="1"/>
        <rFont val="Times New Roman"/>
        <family val="1"/>
      </rPr>
      <t>obtained</t>
    </r>
  </si>
  <si>
    <r>
      <t>Grade of concrete (fck) (N/mm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 xml:space="preserve">) </t>
    </r>
  </si>
  <si>
    <r>
      <t>Grade of steel (fy) (N/mm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 xml:space="preserve">) </t>
    </r>
  </si>
  <si>
    <r>
      <t>Total depth (D)</t>
    </r>
    <r>
      <rPr>
        <vertAlign val="subscript"/>
        <sz val="12"/>
        <color theme="1"/>
        <rFont val="Times New Roman"/>
        <family val="1"/>
      </rPr>
      <t>provided</t>
    </r>
    <r>
      <rPr>
        <sz val="12"/>
        <color theme="1"/>
        <rFont val="Times New Roman"/>
        <family val="1"/>
      </rPr>
      <t xml:space="preserve"> (mm)</t>
    </r>
  </si>
  <si>
    <t>Steel provided</t>
  </si>
  <si>
    <t>Data for Ast calculation</t>
  </si>
  <si>
    <t>Spacing (mm)</t>
  </si>
  <si>
    <r>
      <t>Steel required (mm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</si>
  <si>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Area of one bar (mm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</si>
  <si>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Steel provided (mm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</si>
  <si>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t>pt%</t>
  </si>
  <si>
    <r>
      <t>Design shear strength of concrete,τ</t>
    </r>
    <r>
      <rPr>
        <b/>
        <vertAlign val="subscript"/>
        <sz val="11"/>
        <color theme="1"/>
        <rFont val="Times New Roman"/>
        <family val="1"/>
      </rPr>
      <t>c</t>
    </r>
    <r>
      <rPr>
        <b/>
        <sz val="11"/>
        <color theme="1"/>
        <rFont val="Times New Roman"/>
        <family val="1"/>
      </rPr>
      <t>, (N/mm</t>
    </r>
    <r>
      <rPr>
        <b/>
        <vertAlign val="super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)</t>
    </r>
  </si>
  <si>
    <t>fck</t>
  </si>
  <si>
    <t>For 0.15&lt; pt% &lt;3</t>
  </si>
  <si>
    <t xml:space="preserve"> For pt% &lt;= 0.15</t>
  </si>
  <si>
    <t xml:space="preserve"> For pt% &gt;= 3</t>
  </si>
  <si>
    <r>
      <t>τ</t>
    </r>
    <r>
      <rPr>
        <vertAlign val="subscript"/>
        <sz val="12"/>
        <color theme="1"/>
        <rFont val="Times New Roman"/>
        <family val="1"/>
      </rPr>
      <t xml:space="preserve">c  </t>
    </r>
    <r>
      <rPr>
        <sz val="12"/>
        <color theme="1"/>
        <rFont val="Times New Roman"/>
        <family val="1"/>
      </rPr>
      <t>(N/mm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</si>
  <si>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Nominal shear stress τ</t>
    </r>
    <r>
      <rPr>
        <vertAlign val="subscript"/>
        <sz val="12"/>
        <color theme="1"/>
        <rFont val="Times New Roman"/>
        <family val="1"/>
      </rPr>
      <t>V</t>
    </r>
    <r>
      <rPr>
        <sz val="12"/>
        <color theme="1"/>
        <rFont val="Times New Roman"/>
        <family val="1"/>
      </rPr>
      <t xml:space="preserve"> (N/mm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</si>
  <si>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t>One way shear</t>
  </si>
  <si>
    <t>Steel percent (pt%)</t>
  </si>
  <si>
    <t>In Y direction</t>
  </si>
  <si>
    <t>In X direction</t>
  </si>
  <si>
    <r>
      <t>Interpolation for X direction for τ</t>
    </r>
    <r>
      <rPr>
        <vertAlign val="subscript"/>
        <sz val="10"/>
        <color theme="1"/>
        <rFont val="Times New Roman"/>
        <family val="1"/>
      </rPr>
      <t>c</t>
    </r>
  </si>
  <si>
    <r>
      <t>τ</t>
    </r>
    <r>
      <rPr>
        <vertAlign val="subscript"/>
        <sz val="10"/>
        <color theme="1"/>
        <rFont val="Times New Roman"/>
        <family val="1"/>
      </rPr>
      <t>c</t>
    </r>
  </si>
  <si>
    <r>
      <t>Interpolation for Y direction for τ</t>
    </r>
    <r>
      <rPr>
        <vertAlign val="subscript"/>
        <sz val="10"/>
        <color theme="1"/>
        <rFont val="Times New Roman"/>
        <family val="1"/>
      </rPr>
      <t>c</t>
    </r>
  </si>
  <si>
    <r>
      <t>Grade of steel (N/mm</t>
    </r>
    <r>
      <rPr>
        <b/>
        <vertAlign val="super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)</t>
    </r>
  </si>
  <si>
    <r>
      <t>(Depth)</t>
    </r>
    <r>
      <rPr>
        <b/>
        <vertAlign val="subscript"/>
        <sz val="11"/>
        <color theme="1"/>
        <rFont val="Times New Roman"/>
        <family val="1"/>
      </rPr>
      <t>required</t>
    </r>
    <r>
      <rPr>
        <b/>
        <sz val="11"/>
        <color theme="1"/>
        <rFont val="Times New Roman"/>
        <family val="1"/>
      </rPr>
      <t xml:space="preserve"> (mm)</t>
    </r>
  </si>
  <si>
    <r>
      <t>(fck), (N/mm</t>
    </r>
    <r>
      <rPr>
        <b/>
        <vertAlign val="superscript"/>
        <sz val="10"/>
        <color theme="1"/>
        <rFont val="Times New Roman"/>
        <family val="1"/>
      </rPr>
      <t>2</t>
    </r>
    <r>
      <rPr>
        <b/>
        <sz val="10"/>
        <color theme="1"/>
        <rFont val="Times New Roman"/>
        <family val="1"/>
      </rPr>
      <t xml:space="preserve">) </t>
    </r>
  </si>
  <si>
    <r>
      <t>Design bond stress in limit state method for plain bars in tension(τ</t>
    </r>
    <r>
      <rPr>
        <b/>
        <vertAlign val="subscript"/>
        <sz val="10"/>
        <color theme="1"/>
        <rFont val="Times New Roman"/>
        <family val="1"/>
      </rPr>
      <t>bd</t>
    </r>
    <r>
      <rPr>
        <b/>
        <sz val="10"/>
        <color theme="1"/>
        <rFont val="Times New Roman"/>
        <family val="1"/>
      </rPr>
      <t>) (N/mm</t>
    </r>
    <r>
      <rPr>
        <b/>
        <vertAlign val="superscript"/>
        <sz val="10"/>
        <color theme="1"/>
        <rFont val="Times New Roman"/>
        <family val="1"/>
      </rPr>
      <t>2</t>
    </r>
    <r>
      <rPr>
        <b/>
        <sz val="10"/>
        <color theme="1"/>
        <rFont val="Times New Roman"/>
        <family val="1"/>
      </rPr>
      <t>)</t>
    </r>
  </si>
  <si>
    <r>
      <t>(d)</t>
    </r>
    <r>
      <rPr>
        <vertAlign val="subscript"/>
        <sz val="11"/>
        <color theme="1"/>
        <rFont val="Times New Roman"/>
        <family val="1"/>
      </rPr>
      <t>provided</t>
    </r>
    <r>
      <rPr>
        <sz val="11"/>
        <color theme="1"/>
        <rFont val="Times New Roman"/>
        <family val="1"/>
      </rPr>
      <t xml:space="preserve"> (mm)</t>
    </r>
  </si>
  <si>
    <t>Two way shear</t>
  </si>
  <si>
    <t>Permissible shear (N)</t>
  </si>
  <si>
    <r>
      <t>k</t>
    </r>
    <r>
      <rPr>
        <vertAlign val="subscript"/>
        <sz val="12"/>
        <color theme="1"/>
        <rFont val="Times New Roman"/>
        <family val="1"/>
      </rPr>
      <t>s</t>
    </r>
  </si>
  <si>
    <r>
      <rPr>
        <sz val="12"/>
        <color theme="1"/>
        <rFont val="Calibri"/>
        <family val="2"/>
      </rPr>
      <t>τ</t>
    </r>
    <r>
      <rPr>
        <vertAlign val="subscript"/>
        <sz val="12"/>
        <color theme="1"/>
        <rFont val="Times New Roman"/>
        <family val="1"/>
      </rPr>
      <t>c</t>
    </r>
  </si>
  <si>
    <t>Perimeter of critical section (mm)</t>
  </si>
  <si>
    <r>
      <t>Area of critical section (mm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</si>
  <si>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(Number of bars)</t>
    </r>
    <r>
      <rPr>
        <vertAlign val="subscript"/>
        <sz val="12"/>
        <color theme="1"/>
        <rFont val="Times New Roman"/>
        <family val="1"/>
      </rPr>
      <t>req</t>
    </r>
  </si>
  <si>
    <t>Width for Mx (mm)</t>
  </si>
  <si>
    <t>Width for My (mm)</t>
  </si>
  <si>
    <r>
      <t>Effective depth (d)</t>
    </r>
    <r>
      <rPr>
        <vertAlign val="subscript"/>
        <sz val="12"/>
        <color theme="1"/>
        <rFont val="Times New Roman"/>
        <family val="1"/>
      </rPr>
      <t xml:space="preserve">required </t>
    </r>
    <r>
      <rPr>
        <sz val="12"/>
        <color theme="1"/>
        <rFont val="Times New Roman"/>
        <family val="1"/>
      </rPr>
      <t>(mm)from moment</t>
    </r>
  </si>
  <si>
    <t>Short direction</t>
  </si>
  <si>
    <t xml:space="preserve">long direction </t>
  </si>
  <si>
    <t>Minimum Steel required (mm2)</t>
  </si>
  <si>
    <t>Appendix-D- spread footings(no eccentricity)</t>
  </si>
  <si>
    <r>
      <t>(Pz)</t>
    </r>
    <r>
      <rPr>
        <vertAlign val="subscript"/>
        <sz val="12"/>
        <color theme="1"/>
        <rFont val="Times New Roman"/>
        <family val="1"/>
      </rPr>
      <t xml:space="preserve">working </t>
    </r>
    <r>
      <rPr>
        <sz val="12"/>
        <color theme="1"/>
        <rFont val="Times New Roman"/>
        <family val="1"/>
      </rPr>
      <t>(kN)</t>
    </r>
  </si>
  <si>
    <r>
      <t>SBC (kN/m</t>
    </r>
    <r>
      <rPr>
        <vertAlign val="superscript"/>
        <sz val="12"/>
        <color theme="1"/>
        <rFont val="Times New Roman"/>
        <family val="1"/>
      </rPr>
      <t xml:space="preserve">2 </t>
    </r>
    <r>
      <rPr>
        <sz val="12"/>
        <color theme="1"/>
        <rFont val="Times New Roman"/>
        <family val="1"/>
      </rPr>
      <t>)</t>
    </r>
  </si>
  <si>
    <r>
      <t>Upward pressure (q</t>
    </r>
    <r>
      <rPr>
        <vertAlign val="subscript"/>
        <sz val="12"/>
        <color theme="1"/>
        <rFont val="Times New Roman"/>
        <family val="1"/>
      </rPr>
      <t>u</t>
    </r>
    <r>
      <rPr>
        <sz val="12"/>
        <color theme="1"/>
        <rFont val="Times New Roman"/>
        <family val="1"/>
      </rPr>
      <t>) (kN/m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</si>
  <si>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t>Moment about x axis  (kNm)</t>
  </si>
  <si>
    <t>Moment about y axis (kNm)</t>
  </si>
  <si>
    <t>Mx per unit length(kN-m/m)</t>
  </si>
  <si>
    <t>My per unit length(kN-m/m)</t>
  </si>
  <si>
    <t>Shear (kN)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</si>
</sst>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theme="1"/>
      <name val="Calibri"/>
      <family val="2"/>
    </font>
    <font>
      <sz val="12"/>
      <color theme="1"/>
      <name val="Times New Roman"/>
      <family val="1"/>
    </font>
    <font>
      <vertAlign val="subscript"/>
      <sz val="12"/>
      <color theme="1"/>
      <name val="Times New Roman"/>
      <family val="1"/>
    </font>
    <font>
      <vertAlign val="superscript"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sz val="12"/>
      <color rgb="FF3F3F76"/>
      <name val="Times New Roman"/>
      <family val="1"/>
    </font>
    <font>
      <sz val="10"/>
      <color theme="1"/>
      <name val="Times New Roman"/>
      <family val="1"/>
    </font>
    <font>
      <vertAlign val="subscript"/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jmes"/>
    </font>
    <font>
      <b/>
      <sz val="11"/>
      <color theme="1"/>
      <name val="Times New Roman"/>
      <family val="1"/>
    </font>
    <font>
      <b/>
      <vertAlign val="subscript"/>
      <sz val="11"/>
      <color theme="1"/>
      <name val="Times New Roman"/>
      <family val="1"/>
    </font>
    <font>
      <b/>
      <vertAlign val="superscript"/>
      <sz val="11"/>
      <color theme="1"/>
      <name val="Times New Roman"/>
      <family val="1"/>
    </font>
    <font>
      <b/>
      <vertAlign val="superscript"/>
      <sz val="10"/>
      <color theme="1"/>
      <name val="Times New Roman"/>
      <family val="1"/>
    </font>
    <font>
      <b/>
      <vertAlign val="subscript"/>
      <sz val="10"/>
      <color theme="1"/>
      <name val="Times New Roman"/>
      <family val="1"/>
    </font>
    <font>
      <b/>
      <u/>
      <sz val="14"/>
      <color theme="1"/>
      <name val="Times New Roman"/>
      <family val="1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4">
    <xf numFmtId="0" fontId="0" fillId="0" borderId="0" xfId="0"/>
    <xf numFmtId="0" fontId="3" fillId="0" borderId="0" xfId="0" applyFont="1"/>
    <xf numFmtId="0" fontId="6" fillId="0" borderId="0" xfId="0" applyFont="1"/>
    <xf numFmtId="0" fontId="7" fillId="0" borderId="0" xfId="0" applyFont="1"/>
    <xf numFmtId="0" fontId="4" fillId="0" borderId="0" xfId="0" applyFont="1"/>
    <xf numFmtId="0" fontId="3" fillId="0" borderId="0" xfId="0" applyFont="1" applyFill="1" applyBorder="1"/>
    <xf numFmtId="0" fontId="7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4" fillId="0" borderId="0" xfId="0" applyFont="1"/>
    <xf numFmtId="0" fontId="13" fillId="0" borderId="0" xfId="0" applyFont="1"/>
    <xf numFmtId="0" fontId="15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0" fillId="0" borderId="0" xfId="0" applyAlignment="1">
      <alignment textRotation="180"/>
    </xf>
    <xf numFmtId="0" fontId="20" fillId="0" borderId="0" xfId="0" applyFont="1"/>
    <xf numFmtId="0" fontId="9" fillId="3" borderId="1" xfId="1" applyFont="1" applyFill="1"/>
    <xf numFmtId="0" fontId="1" fillId="3" borderId="1" xfId="1" applyFill="1"/>
    <xf numFmtId="0" fontId="3" fillId="4" borderId="0" xfId="0" applyFont="1" applyFill="1"/>
    <xf numFmtId="0" fontId="3" fillId="5" borderId="0" xfId="0" applyFont="1" applyFill="1"/>
    <xf numFmtId="0" fontId="3" fillId="3" borderId="0" xfId="0" applyFont="1" applyFill="1"/>
    <xf numFmtId="0" fontId="3" fillId="6" borderId="0" xfId="0" applyFont="1" applyFill="1"/>
    <xf numFmtId="0" fontId="13" fillId="6" borderId="0" xfId="0" applyFont="1" applyFill="1"/>
    <xf numFmtId="0" fontId="13" fillId="0" borderId="0" xfId="0" applyFont="1" applyAlignment="1">
      <alignment wrapText="1"/>
    </xf>
    <xf numFmtId="0" fontId="13" fillId="0" borderId="0" xfId="0" applyFont="1" applyAlignment="1">
      <alignment horizontal="center" vertical="top" textRotation="90"/>
    </xf>
    <xf numFmtId="0" fontId="20" fillId="0" borderId="0" xfId="0" applyFont="1" applyAlignment="1">
      <alignment horizontal="center"/>
    </xf>
    <xf numFmtId="0" fontId="13" fillId="0" borderId="0" xfId="0" applyFont="1" applyAlignment="1">
      <alignment horizontal="center" vertical="center" textRotation="90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13" fillId="0" borderId="0" xfId="0" applyFont="1" applyAlignment="1">
      <alignment horizontal="center" wrapText="1"/>
    </xf>
    <xf numFmtId="0" fontId="15" fillId="0" borderId="0" xfId="0" applyFont="1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259080</xdr:colOff>
      <xdr:row>32</xdr:row>
      <xdr:rowOff>0</xdr:rowOff>
    </xdr:from>
    <xdr:to>
      <xdr:col>13</xdr:col>
      <xdr:colOff>411480</xdr:colOff>
      <xdr:row>32</xdr:row>
      <xdr:rowOff>1588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xmlns="" id="{00000000-0008-0000-0000-000070000000}"/>
            </a:ext>
          </a:extLst>
        </xdr:cNvPr>
        <xdr:cNvCxnSpPr/>
      </xdr:nvCxnSpPr>
      <xdr:spPr>
        <a:xfrm rot="10800000">
          <a:off x="12649200" y="6969760"/>
          <a:ext cx="25908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203201</xdr:colOff>
      <xdr:row>26</xdr:row>
      <xdr:rowOff>53576</xdr:rowOff>
    </xdr:from>
    <xdr:to>
      <xdr:col>13</xdr:col>
      <xdr:colOff>482601</xdr:colOff>
      <xdr:row>37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2585701" y="5743176"/>
          <a:ext cx="2717800" cy="23848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38</xdr:row>
      <xdr:rowOff>9525</xdr:rowOff>
    </xdr:from>
    <xdr:to>
      <xdr:col>13</xdr:col>
      <xdr:colOff>485775</xdr:colOff>
      <xdr:row>38</xdr:row>
      <xdr:rowOff>11113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CxnSpPr/>
      </xdr:nvCxnSpPr>
      <xdr:spPr>
        <a:xfrm>
          <a:off x="12582525" y="8191500"/>
          <a:ext cx="2724150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593566</xdr:colOff>
      <xdr:row>26</xdr:row>
      <xdr:rowOff>61754</xdr:rowOff>
    </xdr:from>
    <xdr:to>
      <xdr:col>8</xdr:col>
      <xdr:colOff>595154</xdr:colOff>
      <xdr:row>37</xdr:row>
      <xdr:rowOff>69374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CxnSpPr/>
      </xdr:nvCxnSpPr>
      <xdr:spPr>
        <a:xfrm rot="5400000">
          <a:off x="11197590" y="6846570"/>
          <a:ext cx="2339340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220431</xdr:colOff>
      <xdr:row>15</xdr:row>
      <xdr:rowOff>162560</xdr:rowOff>
    </xdr:from>
    <xdr:to>
      <xdr:col>12</xdr:col>
      <xdr:colOff>472440</xdr:colOff>
      <xdr:row>15</xdr:row>
      <xdr:rowOff>163830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CxnSpPr/>
      </xdr:nvCxnSpPr>
      <xdr:spPr>
        <a:xfrm>
          <a:off x="12596207" y="3085054"/>
          <a:ext cx="2690409" cy="12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220431</xdr:colOff>
      <xdr:row>13</xdr:row>
      <xdr:rowOff>4604</xdr:rowOff>
    </xdr:from>
    <xdr:to>
      <xdr:col>9</xdr:col>
      <xdr:colOff>609600</xdr:colOff>
      <xdr:row>13</xdr:row>
      <xdr:rowOff>7031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CxnSpPr/>
      </xdr:nvCxnSpPr>
      <xdr:spPr>
        <a:xfrm>
          <a:off x="12596207" y="2456451"/>
          <a:ext cx="998769" cy="24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70756</xdr:colOff>
      <xdr:row>13</xdr:row>
      <xdr:rowOff>10886</xdr:rowOff>
    </xdr:from>
    <xdr:to>
      <xdr:col>12</xdr:col>
      <xdr:colOff>468085</xdr:colOff>
      <xdr:row>13</xdr:row>
      <xdr:rowOff>12474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xmlns="" id="{00000000-0008-0000-0000-000031000000}"/>
            </a:ext>
          </a:extLst>
        </xdr:cNvPr>
        <xdr:cNvCxnSpPr/>
      </xdr:nvCxnSpPr>
      <xdr:spPr>
        <a:xfrm>
          <a:off x="14282056" y="2438400"/>
          <a:ext cx="1006929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608806</xdr:colOff>
      <xdr:row>10</xdr:row>
      <xdr:rowOff>4604</xdr:rowOff>
    </xdr:from>
    <xdr:to>
      <xdr:col>10</xdr:col>
      <xdr:colOff>794</xdr:colOff>
      <xdr:row>13</xdr:row>
      <xdr:rowOff>4604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xmlns="" id="{00000000-0008-0000-0000-00003A000000}"/>
            </a:ext>
          </a:extLst>
        </xdr:cNvPr>
        <xdr:cNvCxnSpPr/>
      </xdr:nvCxnSpPr>
      <xdr:spPr>
        <a:xfrm rot="5400000" flipH="1" flipV="1">
          <a:off x="13285470" y="2133600"/>
          <a:ext cx="63246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67786</xdr:colOff>
      <xdr:row>10</xdr:row>
      <xdr:rowOff>8414</xdr:rowOff>
    </xdr:from>
    <xdr:to>
      <xdr:col>11</xdr:col>
      <xdr:colOff>69374</xdr:colOff>
      <xdr:row>13</xdr:row>
      <xdr:rowOff>8414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CxnSpPr/>
      </xdr:nvCxnSpPr>
      <xdr:spPr>
        <a:xfrm rot="5400000" flipH="1" flipV="1">
          <a:off x="13963650" y="2137410"/>
          <a:ext cx="63246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472440</xdr:colOff>
      <xdr:row>10</xdr:row>
      <xdr:rowOff>0</xdr:rowOff>
    </xdr:from>
    <xdr:to>
      <xdr:col>10</xdr:col>
      <xdr:colOff>186840</xdr:colOff>
      <xdr:row>10</xdr:row>
      <xdr:rowOff>1588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CxnSpPr/>
      </xdr:nvCxnSpPr>
      <xdr:spPr>
        <a:xfrm>
          <a:off x="13464540" y="1813560"/>
          <a:ext cx="3240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483870</xdr:colOff>
      <xdr:row>10</xdr:row>
      <xdr:rowOff>3810</xdr:rowOff>
    </xdr:from>
    <xdr:to>
      <xdr:col>11</xdr:col>
      <xdr:colOff>198270</xdr:colOff>
      <xdr:row>10</xdr:row>
      <xdr:rowOff>5398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xmlns="" id="{00000000-0008-0000-0000-00003E000000}"/>
            </a:ext>
          </a:extLst>
        </xdr:cNvPr>
        <xdr:cNvCxnSpPr/>
      </xdr:nvCxnSpPr>
      <xdr:spPr>
        <a:xfrm>
          <a:off x="14085570" y="1817370"/>
          <a:ext cx="3240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182880</xdr:colOff>
      <xdr:row>10</xdr:row>
      <xdr:rowOff>3810</xdr:rowOff>
    </xdr:from>
    <xdr:to>
      <xdr:col>10</xdr:col>
      <xdr:colOff>312420</xdr:colOff>
      <xdr:row>10</xdr:row>
      <xdr:rowOff>133350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xmlns="" id="{00000000-0008-0000-0000-000040000000}"/>
            </a:ext>
          </a:extLst>
        </xdr:cNvPr>
        <xdr:cNvCxnSpPr/>
      </xdr:nvCxnSpPr>
      <xdr:spPr>
        <a:xfrm rot="16200000" flipH="1">
          <a:off x="13784580" y="1817370"/>
          <a:ext cx="129540" cy="1295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354330</xdr:colOff>
      <xdr:row>9</xdr:row>
      <xdr:rowOff>106680</xdr:rowOff>
    </xdr:from>
    <xdr:to>
      <xdr:col>10</xdr:col>
      <xdr:colOff>483870</xdr:colOff>
      <xdr:row>10</xdr:row>
      <xdr:rowOff>0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xmlns="" id="{00000000-0008-0000-0000-000041000000}"/>
            </a:ext>
          </a:extLst>
        </xdr:cNvPr>
        <xdr:cNvCxnSpPr/>
      </xdr:nvCxnSpPr>
      <xdr:spPr>
        <a:xfrm rot="16200000" flipH="1">
          <a:off x="13956030" y="1684020"/>
          <a:ext cx="129540" cy="1295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312420</xdr:colOff>
      <xdr:row>9</xdr:row>
      <xdr:rowOff>114300</xdr:rowOff>
    </xdr:from>
    <xdr:to>
      <xdr:col>10</xdr:col>
      <xdr:colOff>358140</xdr:colOff>
      <xdr:row>10</xdr:row>
      <xdr:rowOff>133350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xmlns="" id="{00000000-0008-0000-0000-000043000000}"/>
            </a:ext>
          </a:extLst>
        </xdr:cNvPr>
        <xdr:cNvCxnSpPr/>
      </xdr:nvCxnSpPr>
      <xdr:spPr>
        <a:xfrm rot="5400000">
          <a:off x="13809345" y="1796415"/>
          <a:ext cx="255270" cy="4572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217715</xdr:colOff>
      <xdr:row>16</xdr:row>
      <xdr:rowOff>99060</xdr:rowOff>
    </xdr:from>
    <xdr:to>
      <xdr:col>12</xdr:col>
      <xdr:colOff>464868</xdr:colOff>
      <xdr:row>16</xdr:row>
      <xdr:rowOff>100648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xmlns="" id="{00000000-0008-0000-0000-00004A000000}"/>
            </a:ext>
          </a:extLst>
        </xdr:cNvPr>
        <xdr:cNvCxnSpPr/>
      </xdr:nvCxnSpPr>
      <xdr:spPr>
        <a:xfrm>
          <a:off x="12600215" y="3215640"/>
          <a:ext cx="2685553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608806</xdr:colOff>
      <xdr:row>13</xdr:row>
      <xdr:rowOff>5398</xdr:rowOff>
    </xdr:from>
    <xdr:to>
      <xdr:col>8</xdr:col>
      <xdr:colOff>794</xdr:colOff>
      <xdr:row>15</xdr:row>
      <xdr:rowOff>164080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xmlns="" id="{00000000-0008-0000-0000-00004E000000}"/>
            </a:ext>
          </a:extLst>
        </xdr:cNvPr>
        <xdr:cNvCxnSpPr/>
      </xdr:nvCxnSpPr>
      <xdr:spPr>
        <a:xfrm rot="5400000">
          <a:off x="12041901" y="2789045"/>
          <a:ext cx="648540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259080</xdr:colOff>
      <xdr:row>15</xdr:row>
      <xdr:rowOff>83820</xdr:rowOff>
    </xdr:from>
    <xdr:to>
      <xdr:col>12</xdr:col>
      <xdr:colOff>411480</xdr:colOff>
      <xdr:row>15</xdr:row>
      <xdr:rowOff>85408</xdr:rowOff>
    </xdr:to>
    <xdr:cxnSp macro="">
      <xdr:nvCxnSpPr>
        <xdr:cNvPr id="83" name="Straight Connector 82">
          <a:extLst>
            <a:ext uri="{FF2B5EF4-FFF2-40B4-BE49-F238E27FC236}">
              <a16:creationId xmlns:a16="http://schemas.microsoft.com/office/drawing/2014/main" xmlns="" id="{00000000-0008-0000-0000-000053000000}"/>
            </a:ext>
          </a:extLst>
        </xdr:cNvPr>
        <xdr:cNvCxnSpPr/>
      </xdr:nvCxnSpPr>
      <xdr:spPr>
        <a:xfrm>
          <a:off x="12641580" y="3002280"/>
          <a:ext cx="25908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15</xdr:row>
      <xdr:rowOff>0</xdr:rowOff>
    </xdr:from>
    <xdr:to>
      <xdr:col>11</xdr:col>
      <xdr:colOff>45719</xdr:colOff>
      <xdr:row>15</xdr:row>
      <xdr:rowOff>72000</xdr:rowOff>
    </xdr:to>
    <xdr:sp macro="" textlink="">
      <xdr:nvSpPr>
        <xdr:cNvPr id="84" name="Oval 83">
          <a:extLst>
            <a:ext uri="{FF2B5EF4-FFF2-40B4-BE49-F238E27FC236}">
              <a16:creationId xmlns:a16="http://schemas.microsoft.com/office/drawing/2014/main" xmlns="" id="{00000000-0008-0000-0000-000054000000}"/>
            </a:ext>
          </a:extLst>
        </xdr:cNvPr>
        <xdr:cNvSpPr/>
      </xdr:nvSpPr>
      <xdr:spPr>
        <a:xfrm>
          <a:off x="14211300" y="2918460"/>
          <a:ext cx="45719" cy="7200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0</xdr:colOff>
      <xdr:row>15</xdr:row>
      <xdr:rowOff>0</xdr:rowOff>
    </xdr:from>
    <xdr:to>
      <xdr:col>12</xdr:col>
      <xdr:colOff>45719</xdr:colOff>
      <xdr:row>15</xdr:row>
      <xdr:rowOff>72000</xdr:rowOff>
    </xdr:to>
    <xdr:sp macro="" textlink="">
      <xdr:nvSpPr>
        <xdr:cNvPr id="85" name="Oval 84">
          <a:extLst>
            <a:ext uri="{FF2B5EF4-FFF2-40B4-BE49-F238E27FC236}">
              <a16:creationId xmlns:a16="http://schemas.microsoft.com/office/drawing/2014/main" xmlns="" id="{00000000-0008-0000-0000-000055000000}"/>
            </a:ext>
          </a:extLst>
        </xdr:cNvPr>
        <xdr:cNvSpPr/>
      </xdr:nvSpPr>
      <xdr:spPr>
        <a:xfrm>
          <a:off x="14820900" y="2918460"/>
          <a:ext cx="45719" cy="7200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10</xdr:col>
      <xdr:colOff>45719</xdr:colOff>
      <xdr:row>15</xdr:row>
      <xdr:rowOff>72000</xdr:rowOff>
    </xdr:to>
    <xdr:sp macro="" textlink="">
      <xdr:nvSpPr>
        <xdr:cNvPr id="86" name="Oval 85">
          <a:extLst>
            <a:ext uri="{FF2B5EF4-FFF2-40B4-BE49-F238E27FC236}">
              <a16:creationId xmlns:a16="http://schemas.microsoft.com/office/drawing/2014/main" xmlns="" id="{00000000-0008-0000-0000-000056000000}"/>
            </a:ext>
          </a:extLst>
        </xdr:cNvPr>
        <xdr:cNvSpPr/>
      </xdr:nvSpPr>
      <xdr:spPr>
        <a:xfrm>
          <a:off x="13601700" y="2918460"/>
          <a:ext cx="45719" cy="7200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9</xdr:col>
      <xdr:colOff>45719</xdr:colOff>
      <xdr:row>15</xdr:row>
      <xdr:rowOff>72000</xdr:rowOff>
    </xdr:to>
    <xdr:sp macro="" textlink="">
      <xdr:nvSpPr>
        <xdr:cNvPr id="87" name="Oval 86">
          <a:extLst>
            <a:ext uri="{FF2B5EF4-FFF2-40B4-BE49-F238E27FC236}">
              <a16:creationId xmlns:a16="http://schemas.microsoft.com/office/drawing/2014/main" xmlns="" id="{00000000-0008-0000-0000-000057000000}"/>
            </a:ext>
          </a:extLst>
        </xdr:cNvPr>
        <xdr:cNvSpPr/>
      </xdr:nvSpPr>
      <xdr:spPr>
        <a:xfrm>
          <a:off x="12992100" y="2918460"/>
          <a:ext cx="45719" cy="7200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62388</xdr:colOff>
      <xdr:row>10</xdr:row>
      <xdr:rowOff>0</xdr:rowOff>
    </xdr:from>
    <xdr:to>
      <xdr:col>10</xdr:col>
      <xdr:colOff>63976</xdr:colOff>
      <xdr:row>14</xdr:row>
      <xdr:rowOff>140970</xdr:rowOff>
    </xdr:to>
    <xdr:cxnSp macro="">
      <xdr:nvCxnSpPr>
        <xdr:cNvPr id="91" name="Straight Connector 90">
          <a:extLst>
            <a:ext uri="{FF2B5EF4-FFF2-40B4-BE49-F238E27FC236}">
              <a16:creationId xmlns:a16="http://schemas.microsoft.com/office/drawing/2014/main" xmlns="" id="{00000000-0008-0000-0000-00005B000000}"/>
            </a:ext>
          </a:extLst>
        </xdr:cNvPr>
        <xdr:cNvCxnSpPr/>
      </xdr:nvCxnSpPr>
      <xdr:spPr>
        <a:xfrm rot="5400000">
          <a:off x="13167677" y="2309971"/>
          <a:ext cx="99441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604996</xdr:colOff>
      <xdr:row>10</xdr:row>
      <xdr:rowOff>8414</xdr:rowOff>
    </xdr:from>
    <xdr:to>
      <xdr:col>10</xdr:col>
      <xdr:colOff>606584</xdr:colOff>
      <xdr:row>14</xdr:row>
      <xdr:rowOff>149384</xdr:rowOff>
    </xdr:to>
    <xdr:cxnSp macro="">
      <xdr:nvCxnSpPr>
        <xdr:cNvPr id="92" name="Straight Connector 91">
          <a:extLst>
            <a:ext uri="{FF2B5EF4-FFF2-40B4-BE49-F238E27FC236}">
              <a16:creationId xmlns:a16="http://schemas.microsoft.com/office/drawing/2014/main" xmlns="" id="{00000000-0008-0000-0000-00005C000000}"/>
            </a:ext>
          </a:extLst>
        </xdr:cNvPr>
        <xdr:cNvCxnSpPr/>
      </xdr:nvCxnSpPr>
      <xdr:spPr>
        <a:xfrm rot="5400000">
          <a:off x="13710285" y="2318385"/>
          <a:ext cx="99441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14</xdr:row>
      <xdr:rowOff>140970</xdr:rowOff>
    </xdr:from>
    <xdr:to>
      <xdr:col>12</xdr:col>
      <xdr:colOff>0</xdr:colOff>
      <xdr:row>14</xdr:row>
      <xdr:rowOff>142558</xdr:rowOff>
    </xdr:to>
    <xdr:cxnSp macro="">
      <xdr:nvCxnSpPr>
        <xdr:cNvPr id="94" name="Straight Connector 93">
          <a:extLst>
            <a:ext uri="{FF2B5EF4-FFF2-40B4-BE49-F238E27FC236}">
              <a16:creationId xmlns:a16="http://schemas.microsoft.com/office/drawing/2014/main" xmlns="" id="{00000000-0008-0000-0000-00005E000000}"/>
            </a:ext>
          </a:extLst>
        </xdr:cNvPr>
        <xdr:cNvCxnSpPr/>
      </xdr:nvCxnSpPr>
      <xdr:spPr>
        <a:xfrm>
          <a:off x="14211300" y="2807970"/>
          <a:ext cx="6096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63976</xdr:colOff>
      <xdr:row>14</xdr:row>
      <xdr:rowOff>139382</xdr:rowOff>
    </xdr:from>
    <xdr:to>
      <xdr:col>10</xdr:col>
      <xdr:colOff>63976</xdr:colOff>
      <xdr:row>14</xdr:row>
      <xdr:rowOff>140970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xmlns="" id="{00000000-0008-0000-0000-00005F000000}"/>
            </a:ext>
          </a:extLst>
        </xdr:cNvPr>
        <xdr:cNvCxnSpPr/>
      </xdr:nvCxnSpPr>
      <xdr:spPr>
        <a:xfrm>
          <a:off x="13056076" y="2806382"/>
          <a:ext cx="60960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68580</xdr:colOff>
      <xdr:row>13</xdr:row>
      <xdr:rowOff>12474</xdr:rowOff>
    </xdr:from>
    <xdr:to>
      <xdr:col>11</xdr:col>
      <xdr:colOff>0</xdr:colOff>
      <xdr:row>13</xdr:row>
      <xdr:rowOff>14062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xmlns="" id="{00000000-0008-0000-0000-000062000000}"/>
            </a:ext>
          </a:extLst>
        </xdr:cNvPr>
        <xdr:cNvCxnSpPr/>
      </xdr:nvCxnSpPr>
      <xdr:spPr>
        <a:xfrm>
          <a:off x="13670280" y="2458494"/>
          <a:ext cx="54102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63976</xdr:colOff>
      <xdr:row>12</xdr:row>
      <xdr:rowOff>0</xdr:rowOff>
    </xdr:from>
    <xdr:to>
      <xdr:col>10</xdr:col>
      <xdr:colOff>604996</xdr:colOff>
      <xdr:row>12</xdr:row>
      <xdr:rowOff>1588</xdr:rowOff>
    </xdr:to>
    <xdr:cxnSp macro="">
      <xdr:nvCxnSpPr>
        <xdr:cNvPr id="99" name="Straight Connector 98">
          <a:extLst>
            <a:ext uri="{FF2B5EF4-FFF2-40B4-BE49-F238E27FC236}">
              <a16:creationId xmlns:a16="http://schemas.microsoft.com/office/drawing/2014/main" xmlns="" id="{00000000-0008-0000-0000-000063000000}"/>
            </a:ext>
          </a:extLst>
        </xdr:cNvPr>
        <xdr:cNvCxnSpPr/>
      </xdr:nvCxnSpPr>
      <xdr:spPr>
        <a:xfrm>
          <a:off x="13665676" y="2247900"/>
          <a:ext cx="54102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63976</xdr:colOff>
      <xdr:row>11</xdr:row>
      <xdr:rowOff>0</xdr:rowOff>
    </xdr:from>
    <xdr:to>
      <xdr:col>10</xdr:col>
      <xdr:colOff>604996</xdr:colOff>
      <xdr:row>11</xdr:row>
      <xdr:rowOff>1588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xmlns="" id="{00000000-0008-0000-0000-000064000000}"/>
            </a:ext>
          </a:extLst>
        </xdr:cNvPr>
        <xdr:cNvCxnSpPr/>
      </xdr:nvCxnSpPr>
      <xdr:spPr>
        <a:xfrm>
          <a:off x="13665676" y="2011680"/>
          <a:ext cx="54102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27</xdr:row>
      <xdr:rowOff>794</xdr:rowOff>
    </xdr:from>
    <xdr:to>
      <xdr:col>10</xdr:col>
      <xdr:colOff>1588</xdr:colOff>
      <xdr:row>37</xdr:row>
      <xdr:rowOff>1588</xdr:rowOff>
    </xdr:to>
    <xdr:cxnSp macro="">
      <xdr:nvCxnSpPr>
        <xdr:cNvPr id="102" name="Straight Connector 101">
          <a:extLst>
            <a:ext uri="{FF2B5EF4-FFF2-40B4-BE49-F238E27FC236}">
              <a16:creationId xmlns:a16="http://schemas.microsoft.com/office/drawing/2014/main" xmlns="" id="{00000000-0008-0000-0000-000066000000}"/>
            </a:ext>
          </a:extLst>
        </xdr:cNvPr>
        <xdr:cNvCxnSpPr/>
      </xdr:nvCxnSpPr>
      <xdr:spPr>
        <a:xfrm rot="5400000">
          <a:off x="11930777" y="6921897"/>
          <a:ext cx="2139474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607218</xdr:colOff>
      <xdr:row>27</xdr:row>
      <xdr:rowOff>0</xdr:rowOff>
    </xdr:from>
    <xdr:to>
      <xdr:col>10</xdr:col>
      <xdr:colOff>608806</xdr:colOff>
      <xdr:row>37</xdr:row>
      <xdr:rowOff>0</xdr:rowOff>
    </xdr:to>
    <xdr:cxnSp macro="">
      <xdr:nvCxnSpPr>
        <xdr:cNvPr id="103" name="Straight Connector 102">
          <a:extLst>
            <a:ext uri="{FF2B5EF4-FFF2-40B4-BE49-F238E27FC236}">
              <a16:creationId xmlns:a16="http://schemas.microsoft.com/office/drawing/2014/main" xmlns="" id="{00000000-0008-0000-0000-000067000000}"/>
            </a:ext>
          </a:extLst>
        </xdr:cNvPr>
        <xdr:cNvCxnSpPr/>
      </xdr:nvCxnSpPr>
      <xdr:spPr>
        <a:xfrm rot="5400000">
          <a:off x="12533312" y="6880066"/>
          <a:ext cx="21336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27</xdr:row>
      <xdr:rowOff>0</xdr:rowOff>
    </xdr:from>
    <xdr:to>
      <xdr:col>12</xdr:col>
      <xdr:colOff>1588</xdr:colOff>
      <xdr:row>37</xdr:row>
      <xdr:rowOff>0</xdr:rowOff>
    </xdr:to>
    <xdr:cxnSp macro="">
      <xdr:nvCxnSpPr>
        <xdr:cNvPr id="104" name="Straight Connector 103">
          <a:extLst>
            <a:ext uri="{FF2B5EF4-FFF2-40B4-BE49-F238E27FC236}">
              <a16:creationId xmlns:a16="http://schemas.microsoft.com/office/drawing/2014/main" xmlns="" id="{00000000-0008-0000-0000-000068000000}"/>
            </a:ext>
          </a:extLst>
        </xdr:cNvPr>
        <xdr:cNvCxnSpPr/>
      </xdr:nvCxnSpPr>
      <xdr:spPr>
        <a:xfrm rot="5400000">
          <a:off x="13145294" y="6880066"/>
          <a:ext cx="21336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608012</xdr:colOff>
      <xdr:row>27</xdr:row>
      <xdr:rowOff>794</xdr:rowOff>
    </xdr:from>
    <xdr:to>
      <xdr:col>13</xdr:col>
      <xdr:colOff>0</xdr:colOff>
      <xdr:row>37</xdr:row>
      <xdr:rowOff>794</xdr:rowOff>
    </xdr:to>
    <xdr:cxnSp macro="">
      <xdr:nvCxnSpPr>
        <xdr:cNvPr id="105" name="Straight Connector 104">
          <a:extLst>
            <a:ext uri="{FF2B5EF4-FFF2-40B4-BE49-F238E27FC236}">
              <a16:creationId xmlns:a16="http://schemas.microsoft.com/office/drawing/2014/main" xmlns="" id="{00000000-0008-0000-0000-000069000000}"/>
            </a:ext>
          </a:extLst>
        </xdr:cNvPr>
        <xdr:cNvCxnSpPr/>
      </xdr:nvCxnSpPr>
      <xdr:spPr>
        <a:xfrm rot="5400000">
          <a:off x="13753306" y="6880860"/>
          <a:ext cx="21336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259080</xdr:colOff>
      <xdr:row>36</xdr:row>
      <xdr:rowOff>0</xdr:rowOff>
    </xdr:from>
    <xdr:to>
      <xdr:col>13</xdr:col>
      <xdr:colOff>411480</xdr:colOff>
      <xdr:row>36</xdr:row>
      <xdr:rowOff>1588</xdr:rowOff>
    </xdr:to>
    <xdr:cxnSp macro="">
      <xdr:nvCxnSpPr>
        <xdr:cNvPr id="106" name="Straight Connector 105">
          <a:extLst>
            <a:ext uri="{FF2B5EF4-FFF2-40B4-BE49-F238E27FC236}">
              <a16:creationId xmlns:a16="http://schemas.microsoft.com/office/drawing/2014/main" xmlns="" id="{00000000-0008-0000-0000-00006A000000}"/>
            </a:ext>
          </a:extLst>
        </xdr:cNvPr>
        <xdr:cNvCxnSpPr/>
      </xdr:nvCxnSpPr>
      <xdr:spPr>
        <a:xfrm rot="10800000">
          <a:off x="12641580" y="7719060"/>
          <a:ext cx="25908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251459</xdr:colOff>
      <xdr:row>34</xdr:row>
      <xdr:rowOff>0</xdr:rowOff>
    </xdr:from>
    <xdr:to>
      <xdr:col>13</xdr:col>
      <xdr:colOff>403859</xdr:colOff>
      <xdr:row>34</xdr:row>
      <xdr:rowOff>1588</xdr:rowOff>
    </xdr:to>
    <xdr:cxnSp macro="">
      <xdr:nvCxnSpPr>
        <xdr:cNvPr id="111" name="Straight Connector 110">
          <a:extLst>
            <a:ext uri="{FF2B5EF4-FFF2-40B4-BE49-F238E27FC236}">
              <a16:creationId xmlns:a16="http://schemas.microsoft.com/office/drawing/2014/main" xmlns="" id="{00000000-0008-0000-0000-00006F000000}"/>
            </a:ext>
          </a:extLst>
        </xdr:cNvPr>
        <xdr:cNvCxnSpPr/>
      </xdr:nvCxnSpPr>
      <xdr:spPr>
        <a:xfrm rot="10800000">
          <a:off x="12641579" y="7366000"/>
          <a:ext cx="25908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259080</xdr:colOff>
      <xdr:row>30</xdr:row>
      <xdr:rowOff>0</xdr:rowOff>
    </xdr:from>
    <xdr:to>
      <xdr:col>13</xdr:col>
      <xdr:colOff>411480</xdr:colOff>
      <xdr:row>30</xdr:row>
      <xdr:rowOff>1588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xmlns="" id="{00000000-0008-0000-0000-000071000000}"/>
            </a:ext>
          </a:extLst>
        </xdr:cNvPr>
        <xdr:cNvCxnSpPr/>
      </xdr:nvCxnSpPr>
      <xdr:spPr>
        <a:xfrm rot="10800000">
          <a:off x="12649200" y="6512560"/>
          <a:ext cx="25908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259080</xdr:colOff>
      <xdr:row>28</xdr:row>
      <xdr:rowOff>0</xdr:rowOff>
    </xdr:from>
    <xdr:to>
      <xdr:col>13</xdr:col>
      <xdr:colOff>411480</xdr:colOff>
      <xdr:row>28</xdr:row>
      <xdr:rowOff>1588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xmlns="" id="{00000000-0008-0000-0000-000072000000}"/>
            </a:ext>
          </a:extLst>
        </xdr:cNvPr>
        <xdr:cNvCxnSpPr/>
      </xdr:nvCxnSpPr>
      <xdr:spPr>
        <a:xfrm rot="10800000">
          <a:off x="12649200" y="6075680"/>
          <a:ext cx="2590800" cy="1588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576738</xdr:colOff>
      <xdr:row>30</xdr:row>
      <xdr:rowOff>77788</xdr:rowOff>
    </xdr:from>
    <xdr:to>
      <xdr:col>12</xdr:col>
      <xdr:colOff>41538</xdr:colOff>
      <xdr:row>33</xdr:row>
      <xdr:rowOff>106468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xmlns="" id="{00000000-0008-0000-0000-000075000000}"/>
            </a:ext>
          </a:extLst>
        </xdr:cNvPr>
        <xdr:cNvSpPr/>
      </xdr:nvSpPr>
      <xdr:spPr>
        <a:xfrm>
          <a:off x="13576458" y="6590348"/>
          <a:ext cx="684000" cy="684000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196682</xdr:colOff>
      <xdr:row>30</xdr:row>
      <xdr:rowOff>83081</xdr:rowOff>
    </xdr:from>
    <xdr:to>
      <xdr:col>12</xdr:col>
      <xdr:colOff>198270</xdr:colOff>
      <xdr:row>33</xdr:row>
      <xdr:rowOff>111761</xdr:rowOff>
    </xdr:to>
    <xdr:cxnSp macro="">
      <xdr:nvCxnSpPr>
        <xdr:cNvPr id="121" name="Straight Arrow Connector 120">
          <a:extLst>
            <a:ext uri="{FF2B5EF4-FFF2-40B4-BE49-F238E27FC236}">
              <a16:creationId xmlns:a16="http://schemas.microsoft.com/office/drawing/2014/main" xmlns="" id="{00000000-0008-0000-0000-000079000000}"/>
            </a:ext>
          </a:extLst>
        </xdr:cNvPr>
        <xdr:cNvCxnSpPr/>
      </xdr:nvCxnSpPr>
      <xdr:spPr>
        <a:xfrm rot="5400000">
          <a:off x="14218223" y="6949865"/>
          <a:ext cx="685905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563034</xdr:colOff>
      <xdr:row>34</xdr:row>
      <xdr:rowOff>78846</xdr:rowOff>
    </xdr:from>
    <xdr:to>
      <xdr:col>12</xdr:col>
      <xdr:colOff>27834</xdr:colOff>
      <xdr:row>34</xdr:row>
      <xdr:rowOff>80434</xdr:rowOff>
    </xdr:to>
    <xdr:cxnSp macro="">
      <xdr:nvCxnSpPr>
        <xdr:cNvPr id="122" name="Straight Arrow Connector 121">
          <a:extLst>
            <a:ext uri="{FF2B5EF4-FFF2-40B4-BE49-F238E27FC236}">
              <a16:creationId xmlns:a16="http://schemas.microsoft.com/office/drawing/2014/main" xmlns="" id="{00000000-0008-0000-0000-00007A000000}"/>
            </a:ext>
          </a:extLst>
        </xdr:cNvPr>
        <xdr:cNvCxnSpPr/>
      </xdr:nvCxnSpPr>
      <xdr:spPr>
        <a:xfrm>
          <a:off x="13562754" y="7444846"/>
          <a:ext cx="684000" cy="1588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218843</xdr:colOff>
      <xdr:row>13</xdr:row>
      <xdr:rowOff>793</xdr:rowOff>
    </xdr:from>
    <xdr:to>
      <xdr:col>8</xdr:col>
      <xdr:colOff>220431</xdr:colOff>
      <xdr:row>15</xdr:row>
      <xdr:rowOff>157675</xdr:rowOff>
    </xdr:to>
    <xdr:cxnSp macro="">
      <xdr:nvCxnSpPr>
        <xdr:cNvPr id="134" name="Straight Connector 133">
          <a:extLst>
            <a:ext uri="{FF2B5EF4-FFF2-40B4-BE49-F238E27FC236}">
              <a16:creationId xmlns:a16="http://schemas.microsoft.com/office/drawing/2014/main" xmlns="" id="{00000000-0008-0000-0000-000086000000}"/>
            </a:ext>
          </a:extLst>
        </xdr:cNvPr>
        <xdr:cNvCxnSpPr/>
      </xdr:nvCxnSpPr>
      <xdr:spPr>
        <a:xfrm rot="5400000">
          <a:off x="12281648" y="2765611"/>
          <a:ext cx="627529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464867</xdr:colOff>
      <xdr:row>13</xdr:row>
      <xdr:rowOff>8416</xdr:rowOff>
    </xdr:from>
    <xdr:to>
      <xdr:col>12</xdr:col>
      <xdr:colOff>471647</xdr:colOff>
      <xdr:row>15</xdr:row>
      <xdr:rowOff>164083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xmlns="" id="{00000000-0008-0000-0000-00008A000000}"/>
            </a:ext>
          </a:extLst>
        </xdr:cNvPr>
        <xdr:cNvCxnSpPr/>
      </xdr:nvCxnSpPr>
      <xdr:spPr>
        <a:xfrm rot="16200000" flipH="1">
          <a:off x="14969276" y="2770030"/>
          <a:ext cx="626314" cy="6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609599</xdr:colOff>
      <xdr:row>10</xdr:row>
      <xdr:rowOff>8414</xdr:rowOff>
    </xdr:from>
    <xdr:to>
      <xdr:col>13</xdr:col>
      <xdr:colOff>0</xdr:colOff>
      <xdr:row>15</xdr:row>
      <xdr:rowOff>36000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xmlns="" id="{00000000-0008-0000-0000-00009B000000}"/>
            </a:ext>
          </a:extLst>
        </xdr:cNvPr>
        <xdr:cNvCxnSpPr>
          <a:stCxn id="85" idx="2"/>
        </xdr:cNvCxnSpPr>
      </xdr:nvCxnSpPr>
      <xdr:spPr>
        <a:xfrm rot="10800000" flipH="1">
          <a:off x="14973299" y="1837214"/>
          <a:ext cx="609601" cy="1170586"/>
        </a:xfrm>
        <a:prstGeom prst="straightConnector1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276225</xdr:colOff>
      <xdr:row>8</xdr:row>
      <xdr:rowOff>54430</xdr:rowOff>
    </xdr:from>
    <xdr:to>
      <xdr:col>12</xdr:col>
      <xdr:colOff>272143</xdr:colOff>
      <xdr:row>15</xdr:row>
      <xdr:rowOff>76200</xdr:rowOff>
    </xdr:to>
    <xdr:cxnSp macro="">
      <xdr:nvCxnSpPr>
        <xdr:cNvPr id="157" name="Straight Arrow Connector 156">
          <a:extLst>
            <a:ext uri="{FF2B5EF4-FFF2-40B4-BE49-F238E27FC236}">
              <a16:creationId xmlns:a16="http://schemas.microsoft.com/office/drawing/2014/main" xmlns="" id="{00000000-0008-0000-0000-00009D000000}"/>
            </a:ext>
          </a:extLst>
        </xdr:cNvPr>
        <xdr:cNvCxnSpPr/>
      </xdr:nvCxnSpPr>
      <xdr:spPr>
        <a:xfrm flipH="1">
          <a:off x="14297025" y="1445080"/>
          <a:ext cx="605518" cy="164102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312419</xdr:colOff>
      <xdr:row>24</xdr:row>
      <xdr:rowOff>0</xdr:rowOff>
    </xdr:from>
    <xdr:to>
      <xdr:col>14</xdr:col>
      <xdr:colOff>0</xdr:colOff>
      <xdr:row>30</xdr:row>
      <xdr:rowOff>0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xmlns="" id="{00000000-0008-0000-0000-0000A0000000}"/>
            </a:ext>
          </a:extLst>
        </xdr:cNvPr>
        <xdr:cNvCxnSpPr/>
      </xdr:nvCxnSpPr>
      <xdr:spPr>
        <a:xfrm flipV="1">
          <a:off x="14066519" y="5172075"/>
          <a:ext cx="1516381" cy="1352550"/>
        </a:xfrm>
        <a:prstGeom prst="straightConnector1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9527</xdr:colOff>
      <xdr:row>26</xdr:row>
      <xdr:rowOff>95250</xdr:rowOff>
    </xdr:from>
    <xdr:to>
      <xdr:col>14</xdr:col>
      <xdr:colOff>361950</xdr:colOff>
      <xdr:row>29</xdr:row>
      <xdr:rowOff>38099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xmlns="" id="{00000000-0008-0000-0000-0000A7000000}"/>
            </a:ext>
          </a:extLst>
        </xdr:cNvPr>
        <xdr:cNvCxnSpPr/>
      </xdr:nvCxnSpPr>
      <xdr:spPr>
        <a:xfrm flipH="1">
          <a:off x="14592302" y="6200775"/>
          <a:ext cx="962023" cy="542924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1"/>
  <sheetViews>
    <sheetView tabSelected="1" view="pageBreakPreview" zoomScaleNormal="100" zoomScaleSheetLayoutView="100" workbookViewId="0">
      <selection activeCell="D34" sqref="D34"/>
    </sheetView>
  </sheetViews>
  <sheetFormatPr defaultRowHeight="15"/>
  <cols>
    <col min="1" max="1" width="44.7109375" bestFit="1" customWidth="1"/>
    <col min="2" max="2" width="24.85546875" customWidth="1"/>
    <col min="4" max="4" width="30.28515625" customWidth="1"/>
    <col min="5" max="5" width="23.28515625" customWidth="1"/>
    <col min="6" max="6" width="18.42578125" bestFit="1" customWidth="1"/>
    <col min="7" max="7" width="13.7109375" customWidth="1"/>
    <col min="8" max="8" width="8.85546875" customWidth="1"/>
    <col min="11" max="11" width="8.85546875" customWidth="1"/>
    <col min="17" max="17" width="8.85546875" customWidth="1"/>
  </cols>
  <sheetData>
    <row r="1" spans="1:18" ht="24.75" customHeight="1">
      <c r="A1" s="30" t="s">
        <v>59</v>
      </c>
      <c r="B1" s="30"/>
    </row>
    <row r="2" spans="1:18" ht="19.5">
      <c r="A2" s="1" t="s">
        <v>60</v>
      </c>
      <c r="B2" s="17">
        <v>900</v>
      </c>
      <c r="D2" s="2" t="s">
        <v>20</v>
      </c>
      <c r="E2" s="2"/>
      <c r="R2" s="16"/>
    </row>
    <row r="3" spans="1:18" ht="18.75">
      <c r="A3" s="1" t="s">
        <v>61</v>
      </c>
      <c r="B3" s="17">
        <v>120</v>
      </c>
      <c r="D3" s="9" t="s">
        <v>56</v>
      </c>
      <c r="E3" s="9"/>
      <c r="F3" s="1"/>
      <c r="G3" s="1"/>
    </row>
    <row r="4" spans="1:18" ht="20.25">
      <c r="A4" s="2" t="s">
        <v>0</v>
      </c>
      <c r="B4" s="1"/>
      <c r="D4" s="1" t="s">
        <v>23</v>
      </c>
      <c r="E4" s="1" t="s">
        <v>24</v>
      </c>
      <c r="F4" s="1" t="s">
        <v>52</v>
      </c>
      <c r="G4" s="1" t="s">
        <v>22</v>
      </c>
      <c r="H4" s="8"/>
    </row>
    <row r="5" spans="1:18" ht="15.75">
      <c r="A5" t="s">
        <v>2</v>
      </c>
      <c r="B5" s="18">
        <v>0.35</v>
      </c>
      <c r="D5" s="1">
        <f>IF((0.5*(B8/B9)*References!B13*References!B15*(1-SQRT(1-(4.6*B25*1000000)/(B8*References!B13*References!B15*References!B15))))&lt;F8,F8,0.5*(B8/B9)*References!B13*References!B15*(1-SQRT(1-(4.6*B25*1000000)/(B8*References!B13*References!B15*References!B15))))</f>
        <v>2880</v>
      </c>
      <c r="E5" s="1">
        <f>PI()*0.25*B32*B32</f>
        <v>201.06192982974676</v>
      </c>
      <c r="F5" s="19">
        <f>ROUNDUP(D5/E5,0)</f>
        <v>15</v>
      </c>
      <c r="G5" s="19">
        <f>IF(ROUNDDOWN(References!B13/(F5-1),-1)&lt;450,ROUNDDOWN(References!B13/(F5-1),-1),450)</f>
        <v>210</v>
      </c>
    </row>
    <row r="6" spans="1:18" ht="15.75">
      <c r="A6" t="s">
        <v>3</v>
      </c>
      <c r="B6" s="18">
        <v>0.35</v>
      </c>
      <c r="D6" s="1"/>
      <c r="E6" s="1"/>
      <c r="F6" s="1"/>
      <c r="G6" s="1"/>
    </row>
    <row r="7" spans="1:18" ht="20.25">
      <c r="A7" s="1" t="s">
        <v>10</v>
      </c>
      <c r="B7" s="17">
        <v>20</v>
      </c>
      <c r="D7" s="1" t="s">
        <v>25</v>
      </c>
      <c r="E7" s="1"/>
      <c r="F7" s="31" t="s">
        <v>58</v>
      </c>
      <c r="G7" s="31"/>
    </row>
    <row r="8" spans="1:18" ht="18.75" customHeight="1">
      <c r="A8" s="1" t="s">
        <v>17</v>
      </c>
      <c r="B8" s="17">
        <v>25</v>
      </c>
      <c r="D8" s="1">
        <f>F5*E5</f>
        <v>3015.9289474462012</v>
      </c>
      <c r="E8" s="1"/>
      <c r="F8" s="1">
        <f>0.12*B15*1000*B33/100</f>
        <v>2880</v>
      </c>
      <c r="G8" s="1"/>
      <c r="L8" s="32" t="str">
        <f>"provide"&amp;B7&amp;" dia of"&amp;F12&amp;" bars @"&amp;G12&amp;" mm"</f>
        <v>provide20 dia of15 bars @210 mm</v>
      </c>
      <c r="M8" s="32"/>
      <c r="N8" s="32"/>
      <c r="O8" s="32"/>
      <c r="P8" s="32"/>
      <c r="Q8" s="24"/>
    </row>
    <row r="9" spans="1:18" ht="18.75">
      <c r="A9" s="1" t="s">
        <v>18</v>
      </c>
      <c r="B9" s="17">
        <v>415</v>
      </c>
      <c r="D9" s="1"/>
      <c r="E9" s="1"/>
      <c r="F9" s="1"/>
      <c r="G9" s="1"/>
      <c r="L9" s="24"/>
      <c r="M9" s="24"/>
      <c r="N9" s="24"/>
      <c r="O9" s="24"/>
      <c r="P9" s="24"/>
      <c r="Q9" s="24"/>
    </row>
    <row r="10" spans="1:18" ht="15.75">
      <c r="A10" s="1" t="s">
        <v>15</v>
      </c>
      <c r="B10" s="17">
        <v>50</v>
      </c>
      <c r="D10" s="9" t="s">
        <v>57</v>
      </c>
      <c r="E10" s="1"/>
      <c r="F10" s="1"/>
      <c r="G10" s="1"/>
      <c r="M10" s="32" t="str">
        <f>"provide"&amp;B7&amp;" dia of"&amp;F5&amp;" bars @"&amp;G5&amp;" mm"</f>
        <v>provide20 dia of15 bars @210 mm</v>
      </c>
      <c r="N10" s="32"/>
      <c r="O10" s="32"/>
      <c r="P10" s="32"/>
      <c r="Q10" s="24"/>
    </row>
    <row r="11" spans="1:18" ht="20.25">
      <c r="A11" s="1" t="s">
        <v>7</v>
      </c>
      <c r="B11" s="17">
        <v>1.5</v>
      </c>
      <c r="D11" s="1" t="s">
        <v>23</v>
      </c>
      <c r="E11" s="1" t="s">
        <v>24</v>
      </c>
      <c r="F11" s="1" t="s">
        <v>52</v>
      </c>
      <c r="G11" s="1" t="s">
        <v>22</v>
      </c>
      <c r="H11" s="8"/>
      <c r="N11" s="24"/>
      <c r="O11" s="24"/>
      <c r="P11" s="24"/>
      <c r="Q11" s="24"/>
    </row>
    <row r="12" spans="1:18" ht="15.75">
      <c r="D12" s="1">
        <f>IF((0.5*(B8/B9)*References!B14*References!B15*(1-SQRT(1-(4.6*B26*1000000)/(B8*References!B14*References!B15*References!B15))))&lt;F15,F15,0.5*(B8/B9)*References!B14*References!B15*(1-SQRT(1-(4.6*B26*1000000)/(B8*References!B14*References!B15*References!B15))))</f>
        <v>2880</v>
      </c>
      <c r="E12" s="1">
        <f>E5</f>
        <v>201.06192982974676</v>
      </c>
      <c r="F12" s="19">
        <f>ROUNDUP(D12/E12,0)</f>
        <v>15</v>
      </c>
      <c r="G12" s="19">
        <f>IF(ROUNDDOWN(References!B14/(F12-1),-1)&lt;450,ROUNDDOWN(References!B14/(F12-1),-1),450)</f>
        <v>210</v>
      </c>
    </row>
    <row r="13" spans="1:18" ht="17.45" customHeight="1">
      <c r="A13" s="2" t="s">
        <v>1</v>
      </c>
      <c r="B13" s="1"/>
      <c r="D13" s="1"/>
      <c r="E13" s="1"/>
      <c r="F13" s="1"/>
      <c r="G13" s="1"/>
    </row>
    <row r="14" spans="1:18" ht="21.6" customHeight="1">
      <c r="A14" s="4" t="s">
        <v>11</v>
      </c>
      <c r="B14" s="1">
        <f>1.1*B2/B3</f>
        <v>8.2500000000000018</v>
      </c>
      <c r="D14" s="1" t="s">
        <v>25</v>
      </c>
      <c r="E14" s="1"/>
      <c r="F14" s="31" t="s">
        <v>58</v>
      </c>
      <c r="G14" s="31"/>
      <c r="H14" s="27" t="str">
        <f>B33&amp;" mm"</f>
        <v>800 mm</v>
      </c>
    </row>
    <row r="15" spans="1:18" ht="15.75">
      <c r="A15" s="1" t="s">
        <v>5</v>
      </c>
      <c r="B15" s="21">
        <v>3</v>
      </c>
      <c r="D15" s="1">
        <f>F12*E12</f>
        <v>3015.9289474462012</v>
      </c>
      <c r="E15" s="1"/>
      <c r="F15" s="1">
        <f>0.12*B17*1000*B33/100</f>
        <v>2880</v>
      </c>
      <c r="G15" s="1"/>
      <c r="H15" s="27"/>
    </row>
    <row r="16" spans="1:18" ht="15.75">
      <c r="A16" s="1" t="s">
        <v>4</v>
      </c>
      <c r="B16" s="1">
        <f>(B15-B5)/2</f>
        <v>1.325</v>
      </c>
      <c r="D16" s="1"/>
      <c r="E16" s="1"/>
      <c r="F16" s="1"/>
      <c r="G16" s="1"/>
      <c r="H16" s="27"/>
    </row>
    <row r="17" spans="1:23" ht="15.75">
      <c r="A17" s="1" t="s">
        <v>6</v>
      </c>
      <c r="B17" s="21">
        <v>3</v>
      </c>
      <c r="D17" s="9" t="s">
        <v>34</v>
      </c>
      <c r="E17" s="1"/>
      <c r="F17" s="1"/>
      <c r="G17" s="1"/>
    </row>
    <row r="18" spans="1:23" ht="20.25">
      <c r="A18" s="1" t="s">
        <v>62</v>
      </c>
      <c r="B18" s="1">
        <f>B2/(B15*B17)</f>
        <v>100</v>
      </c>
      <c r="D18" s="1" t="s">
        <v>37</v>
      </c>
      <c r="E18" s="1"/>
      <c r="F18" s="1"/>
      <c r="G18" s="1"/>
      <c r="K18" s="13"/>
    </row>
    <row r="19" spans="1:23" ht="19.5">
      <c r="A19" s="1" t="s">
        <v>12</v>
      </c>
      <c r="B19" s="22" t="str">
        <f>IF(B18&gt;B3,"Yes","No")</f>
        <v>No</v>
      </c>
      <c r="D19" s="1" t="s">
        <v>35</v>
      </c>
      <c r="E19" s="1">
        <f>(D8/(Design!B17*1000*References!B15))*100</f>
        <v>0.13548647562651397</v>
      </c>
      <c r="F19" s="1"/>
      <c r="G19" s="1"/>
      <c r="S19" s="26"/>
      <c r="T19" s="26"/>
      <c r="U19" s="26"/>
      <c r="V19" s="26"/>
      <c r="W19" s="26"/>
    </row>
    <row r="20" spans="1:23" ht="20.25">
      <c r="A20" s="23" t="str">
        <f>IF(B19="No","Dimensions are ok","revision of dimensions required")</f>
        <v>Dimensions are ok</v>
      </c>
      <c r="B20" s="1"/>
      <c r="D20" s="1" t="s">
        <v>32</v>
      </c>
      <c r="E20" s="1">
        <f>IF(E19&lt;0.15,References!G21,IF(Design!E19&lt;3,References!D22,References!J21))</f>
        <v>0.28999999999999998</v>
      </c>
      <c r="F20" s="1"/>
      <c r="G20" s="1"/>
    </row>
    <row r="21" spans="1:23" ht="20.25">
      <c r="A21" s="1"/>
      <c r="B21" s="1"/>
      <c r="D21" s="1" t="s">
        <v>33</v>
      </c>
      <c r="E21" s="20" t="str">
        <f>(B18*B17*((B16)-References!B15/1000))/((B17*References!B15/1000)*1000)&amp;", "&amp;IF((B18*B17*((B16)-References!B15/1000))/((B17*References!B15/1000))/1000&lt;E20,"OK","REVISION REQUIRED")</f>
        <v>0.0785714285714286, OK</v>
      </c>
      <c r="F21" s="1"/>
      <c r="G21" s="1"/>
    </row>
    <row r="22" spans="1:23" ht="15.75">
      <c r="A22" s="1"/>
      <c r="B22" s="1"/>
      <c r="D22" s="1"/>
      <c r="E22" s="1"/>
      <c r="F22" s="1"/>
      <c r="G22" s="1"/>
    </row>
    <row r="23" spans="1:23" ht="15.75">
      <c r="A23" s="1"/>
      <c r="B23" s="1"/>
      <c r="D23" s="1" t="s">
        <v>36</v>
      </c>
      <c r="E23" s="1"/>
      <c r="F23" s="1"/>
      <c r="G23" s="1"/>
      <c r="M23" s="28" t="str">
        <f>"provide"&amp;B7&amp;" dia of"&amp;F12&amp;" bars @"&amp;G12&amp;" mm"</f>
        <v>provide20 dia of15 bars @210 mm</v>
      </c>
      <c r="N23" s="28"/>
      <c r="O23" s="28"/>
      <c r="P23" s="28"/>
    </row>
    <row r="24" spans="1:23" ht="18.75" customHeight="1">
      <c r="A24" s="2" t="s">
        <v>8</v>
      </c>
      <c r="B24" s="1"/>
      <c r="D24" s="1" t="s">
        <v>35</v>
      </c>
      <c r="E24" s="1">
        <f>((D15)/(B15*1000*References!B15))*100</f>
        <v>0.13548647562651397</v>
      </c>
      <c r="F24" s="1"/>
      <c r="G24" s="1"/>
      <c r="M24" s="28"/>
      <c r="N24" s="28"/>
      <c r="O24" s="28"/>
      <c r="P24" s="28"/>
      <c r="Q24" s="24"/>
      <c r="R24" s="24"/>
    </row>
    <row r="25" spans="1:23" ht="20.25">
      <c r="A25" s="1" t="s">
        <v>63</v>
      </c>
      <c r="B25" s="20">
        <f>B17*B18*(B15-B5)^2/(8)</f>
        <v>263.34375</v>
      </c>
      <c r="D25" s="1" t="s">
        <v>32</v>
      </c>
      <c r="E25" s="1">
        <f>IF(E24&lt;0.15,References!G28,IF(Design!E24&lt;3,References!D29,References!J28))</f>
        <v>0.28999999999999998</v>
      </c>
      <c r="F25" s="1"/>
      <c r="G25" s="1"/>
      <c r="O25" s="24"/>
      <c r="P25" s="24"/>
      <c r="Q25" s="24"/>
      <c r="R25" s="24"/>
    </row>
    <row r="26" spans="1:23" ht="20.25">
      <c r="A26" s="1" t="s">
        <v>64</v>
      </c>
      <c r="B26" s="20">
        <f>B11*B2*(B17-B6)^2/(8*B17)</f>
        <v>395.015625</v>
      </c>
      <c r="D26" s="1" t="s">
        <v>33</v>
      </c>
      <c r="E26" s="20" t="str">
        <f>(B18*B15*((B17-B6)/2-References!B15/1000))/((B15*References!B15/1000)*1000)&amp;", "&amp;IF((B18*B15*((B17-B6)/2-References!B15/1000))/((B15*References!B15/1000)*1000)&lt;E25,"OK","REVISION REQUIRED")</f>
        <v>0.0785714285714286, OK</v>
      </c>
      <c r="F26" s="1"/>
      <c r="G26" s="1"/>
      <c r="M26" s="29" t="str">
        <f>"provide"&amp;B7&amp;" dia of"&amp;F5&amp;" bars @"&amp;G5&amp;" mm"</f>
        <v>provide20 dia of15 bars @210 mm</v>
      </c>
      <c r="N26" s="29"/>
      <c r="O26" s="29"/>
      <c r="P26" s="29"/>
      <c r="Q26" s="24"/>
      <c r="R26" s="24"/>
    </row>
    <row r="27" spans="1:23" ht="15.75">
      <c r="A27" s="1" t="s">
        <v>65</v>
      </c>
      <c r="B27" s="1">
        <f>B25/B15</f>
        <v>87.78125</v>
      </c>
      <c r="D27" s="1"/>
      <c r="E27" s="1"/>
      <c r="F27" s="1"/>
      <c r="G27" s="1"/>
      <c r="P27" s="24"/>
      <c r="Q27" s="24"/>
      <c r="R27" s="24"/>
    </row>
    <row r="28" spans="1:23" ht="15.75">
      <c r="A28" s="1" t="s">
        <v>66</v>
      </c>
      <c r="B28" s="1">
        <f>B26/B17</f>
        <v>131.671875</v>
      </c>
      <c r="D28" s="9" t="s">
        <v>46</v>
      </c>
      <c r="E28" s="1"/>
      <c r="F28" s="1"/>
      <c r="G28" s="1"/>
    </row>
    <row r="29" spans="1:23" ht="15.75">
      <c r="A29" s="1" t="s">
        <v>9</v>
      </c>
      <c r="B29" s="1" t="str">
        <f>IF(B25&gt;B26,"Mx","My")</f>
        <v>My</v>
      </c>
      <c r="D29" s="1" t="s">
        <v>50</v>
      </c>
      <c r="E29" s="1">
        <f>2*((B5*1000+References!B15)+(B6*1000+References!B15))</f>
        <v>4368</v>
      </c>
      <c r="F29" s="1"/>
      <c r="G29" s="1"/>
    </row>
    <row r="30" spans="1:23" ht="20.25">
      <c r="A30" s="1" t="s">
        <v>55</v>
      </c>
      <c r="B30" s="20">
        <f>VLOOKUP(B9,References!A2:B3,2)</f>
        <v>195.36059190523869</v>
      </c>
      <c r="D30" s="1" t="s">
        <v>51</v>
      </c>
      <c r="E30" s="1">
        <f>E29*References!B15</f>
        <v>3241056</v>
      </c>
      <c r="F30" s="1"/>
      <c r="G30" s="1"/>
    </row>
    <row r="31" spans="1:23" ht="18.75">
      <c r="A31" s="1" t="s">
        <v>13</v>
      </c>
      <c r="B31" s="20">
        <f>ROUND(0.87*B9*B7/(4*VLOOKUP(B8,References!A6:B10,2)*1.6*1.25),0)</f>
        <v>645</v>
      </c>
      <c r="D31" s="1" t="s">
        <v>48</v>
      </c>
      <c r="E31" s="1">
        <f>IF(0.5+(B6/B5)&lt;1,0.5+(B6/B5)&lt;1,1)</f>
        <v>1</v>
      </c>
      <c r="F31" s="1"/>
      <c r="G31" s="1"/>
      <c r="I31" s="27" t="str">
        <f>Design!B17&amp;" m"</f>
        <v>3 m</v>
      </c>
    </row>
    <row r="32" spans="1:23" ht="18.75">
      <c r="A32" s="5" t="s">
        <v>14</v>
      </c>
      <c r="B32" s="20">
        <v>16</v>
      </c>
      <c r="D32" s="1" t="s">
        <v>49</v>
      </c>
      <c r="E32" s="1">
        <f>0.25*SQRT(B8)</f>
        <v>1.25</v>
      </c>
      <c r="F32" s="1"/>
      <c r="G32" s="1"/>
      <c r="I32" s="27"/>
      <c r="M32" s="25"/>
    </row>
    <row r="33" spans="1:21" ht="18.75">
      <c r="A33" s="5" t="s">
        <v>19</v>
      </c>
      <c r="B33" s="20">
        <f>ROUNDUP(MAX(B30:B31)+0.5*B32+B10,-2)</f>
        <v>800</v>
      </c>
      <c r="D33" s="1" t="s">
        <v>47</v>
      </c>
      <c r="E33" s="1">
        <f>E31*E32*E30</f>
        <v>4051320</v>
      </c>
      <c r="F33" s="1"/>
      <c r="G33" s="1"/>
      <c r="M33" s="25"/>
    </row>
    <row r="34" spans="1:21" ht="18.75">
      <c r="A34" s="5" t="s">
        <v>16</v>
      </c>
      <c r="B34" s="20" t="str">
        <f>B33-0.5*B32-B10 &amp;", "&amp; IF(B33-0.5*B32-B10&gt;B30,"OK","REVISION REQUIRED")</f>
        <v>742, OK</v>
      </c>
      <c r="D34" s="1" t="s">
        <v>67</v>
      </c>
      <c r="E34" s="20" t="str">
        <f>B2-B18*(2*(B5+References!B15/1000)+2*(Design!B6+References!B15/1000))&amp;", "&amp;IF(B2-B18*(2*(B5+References!B15/1000)+2*(Design!B6+References!B15/1000))*1000&lt;E33,"OK","REVISION REQUIRED")</f>
        <v>463.2, OK</v>
      </c>
      <c r="F34" s="1"/>
      <c r="G34" s="1"/>
      <c r="M34" s="15"/>
    </row>
    <row r="36" spans="1:21" ht="15.75">
      <c r="L36" s="13"/>
    </row>
    <row r="39" spans="1:21" ht="15.75">
      <c r="L39" s="14" t="str">
        <f>B15&amp;" m"</f>
        <v>3 m</v>
      </c>
    </row>
    <row r="41" spans="1:21" ht="18.75">
      <c r="U41" s="12"/>
    </row>
  </sheetData>
  <mergeCells count="11">
    <mergeCell ref="A1:B1"/>
    <mergeCell ref="F7:G7"/>
    <mergeCell ref="F14:G14"/>
    <mergeCell ref="L8:P8"/>
    <mergeCell ref="M10:P10"/>
    <mergeCell ref="M32:M33"/>
    <mergeCell ref="S19:W19"/>
    <mergeCell ref="H14:H16"/>
    <mergeCell ref="M23:P24"/>
    <mergeCell ref="M26:P26"/>
    <mergeCell ref="I31:I32"/>
  </mergeCells>
  <pageMargins left="1.5" right="0.8" top="1" bottom="1.25" header="0.31496062992125984" footer="0.31496062992125984"/>
  <pageSetup paperSize="9" scale="88" fitToWidth="0" fitToHeight="0" orientation="portrait" r:id="rId1"/>
  <colBreaks count="2" manualBreakCount="2">
    <brk id="3" max="1048575" man="1"/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0"/>
  <sheetViews>
    <sheetView workbookViewId="0">
      <selection activeCell="B4" sqref="B4"/>
    </sheetView>
  </sheetViews>
  <sheetFormatPr defaultRowHeight="15"/>
  <cols>
    <col min="1" max="1" width="23.7109375" bestFit="1" customWidth="1"/>
    <col min="2" max="2" width="65.7109375" bestFit="1" customWidth="1"/>
    <col min="3" max="3" width="28.7109375" bestFit="1" customWidth="1"/>
    <col min="6" max="6" width="13.5703125" bestFit="1" customWidth="1"/>
    <col min="10" max="10" width="5" bestFit="1" customWidth="1"/>
  </cols>
  <sheetData>
    <row r="1" spans="1:9" ht="18">
      <c r="A1" s="10" t="s">
        <v>41</v>
      </c>
      <c r="B1" s="10" t="s">
        <v>42</v>
      </c>
      <c r="C1" s="33" t="s">
        <v>27</v>
      </c>
      <c r="D1" s="33"/>
      <c r="E1" s="33"/>
      <c r="F1" s="33"/>
      <c r="G1" s="33"/>
      <c r="H1" s="33"/>
      <c r="I1" s="33"/>
    </row>
    <row r="2" spans="1:9">
      <c r="A2" s="6">
        <v>415</v>
      </c>
      <c r="B2" s="6">
        <f>IF(Design!B29="Mx",SQRT(Design!B25*1000000/(0.138*Design!B8*Design!B15*1000)),SQRT(Design!B26*1000000/(0.138*Design!B8*Design!B17*1000)))</f>
        <v>195.36059190523869</v>
      </c>
      <c r="C2" s="10" t="s">
        <v>26</v>
      </c>
      <c r="D2" s="33" t="s">
        <v>28</v>
      </c>
      <c r="E2" s="33"/>
      <c r="F2" s="33"/>
      <c r="G2" s="33"/>
      <c r="H2" s="33"/>
      <c r="I2" s="33"/>
    </row>
    <row r="3" spans="1:9">
      <c r="A3" s="6">
        <v>500</v>
      </c>
      <c r="B3" s="6">
        <f>IF(Design!B29="Mx",SQRT(Design!B25*1000000/(0.133*Design!B8*Design!B15*1000)),SQRT(Design!B26*1000000/(0.133*Design!B8*Design!B17*1000)))</f>
        <v>198.99890429289914</v>
      </c>
      <c r="D3" s="10">
        <v>15</v>
      </c>
      <c r="E3" s="10">
        <v>20</v>
      </c>
      <c r="F3" s="10">
        <v>25</v>
      </c>
      <c r="G3" s="10">
        <v>30</v>
      </c>
      <c r="H3" s="10">
        <v>35</v>
      </c>
      <c r="I3" s="10">
        <v>40</v>
      </c>
    </row>
    <row r="4" spans="1:9">
      <c r="A4" s="6"/>
      <c r="B4" s="6"/>
      <c r="C4" s="6">
        <v>0.15</v>
      </c>
      <c r="D4" s="6">
        <v>0.28000000000000003</v>
      </c>
      <c r="E4" s="6">
        <v>0.28000000000000003</v>
      </c>
      <c r="F4" s="6">
        <v>0.28999999999999998</v>
      </c>
      <c r="G4" s="6">
        <v>0.28999999999999998</v>
      </c>
      <c r="H4" s="6">
        <v>0.28999999999999998</v>
      </c>
      <c r="I4" s="6">
        <v>0.3</v>
      </c>
    </row>
    <row r="5" spans="1:9" ht="16.5">
      <c r="A5" s="11" t="s">
        <v>43</v>
      </c>
      <c r="B5" s="11" t="s">
        <v>44</v>
      </c>
      <c r="C5" s="6">
        <v>0.25</v>
      </c>
      <c r="D5" s="6">
        <v>0.35</v>
      </c>
      <c r="E5" s="6">
        <v>0.36</v>
      </c>
      <c r="F5" s="6">
        <v>0.36</v>
      </c>
      <c r="G5" s="6">
        <v>0.37</v>
      </c>
      <c r="H5" s="6">
        <v>0.37</v>
      </c>
      <c r="I5" s="6">
        <v>0.38</v>
      </c>
    </row>
    <row r="6" spans="1:9">
      <c r="A6" s="7">
        <v>20</v>
      </c>
      <c r="B6" s="7">
        <v>1.2</v>
      </c>
      <c r="C6" s="6">
        <v>0.5</v>
      </c>
      <c r="D6" s="6">
        <v>0.46</v>
      </c>
      <c r="E6" s="6">
        <v>0.48</v>
      </c>
      <c r="F6" s="6">
        <v>0.49</v>
      </c>
      <c r="G6" s="6">
        <v>0.5</v>
      </c>
      <c r="H6" s="6">
        <v>0.5</v>
      </c>
      <c r="I6" s="6">
        <v>0.51</v>
      </c>
    </row>
    <row r="7" spans="1:9">
      <c r="A7" s="7">
        <v>25</v>
      </c>
      <c r="B7" s="7">
        <v>1.4</v>
      </c>
      <c r="C7" s="6">
        <v>0.75</v>
      </c>
      <c r="D7" s="6">
        <v>0.54</v>
      </c>
      <c r="E7" s="6">
        <v>0.56000000000000005</v>
      </c>
      <c r="F7" s="6">
        <v>0.56999999999999995</v>
      </c>
      <c r="G7" s="6">
        <v>0.59</v>
      </c>
      <c r="H7" s="6">
        <v>0.59</v>
      </c>
      <c r="I7" s="6">
        <v>0.6</v>
      </c>
    </row>
    <row r="8" spans="1:9">
      <c r="A8" s="7">
        <v>30</v>
      </c>
      <c r="B8" s="7">
        <v>1.5</v>
      </c>
      <c r="C8" s="6">
        <v>1</v>
      </c>
      <c r="D8" s="6">
        <v>0.6</v>
      </c>
      <c r="E8" s="6">
        <v>0.62</v>
      </c>
      <c r="F8" s="6">
        <v>0.64</v>
      </c>
      <c r="G8" s="6">
        <v>0.66</v>
      </c>
      <c r="H8" s="6">
        <v>0.67</v>
      </c>
      <c r="I8" s="6">
        <v>0.68</v>
      </c>
    </row>
    <row r="9" spans="1:9">
      <c r="A9" s="7">
        <v>35</v>
      </c>
      <c r="B9" s="7">
        <v>1.7</v>
      </c>
      <c r="C9" s="6">
        <v>1.25</v>
      </c>
      <c r="D9" s="6">
        <v>0.64</v>
      </c>
      <c r="E9" s="6">
        <v>0.67</v>
      </c>
      <c r="F9" s="6">
        <v>0.7</v>
      </c>
      <c r="G9" s="6">
        <v>0.71</v>
      </c>
      <c r="H9" s="6">
        <v>0.73</v>
      </c>
      <c r="I9" s="6">
        <v>0.74</v>
      </c>
    </row>
    <row r="10" spans="1:9">
      <c r="A10" s="7">
        <v>40</v>
      </c>
      <c r="B10" s="7" t="str">
        <f>IF(Design!B8&gt;=40,1.9,"")</f>
        <v/>
      </c>
      <c r="C10" s="6">
        <v>1.5</v>
      </c>
      <c r="D10" s="6">
        <v>0.68</v>
      </c>
      <c r="E10" s="6">
        <v>0.72</v>
      </c>
      <c r="F10" s="6">
        <v>0.74</v>
      </c>
      <c r="G10" s="6">
        <v>0.76</v>
      </c>
      <c r="H10" s="6">
        <v>0.78</v>
      </c>
      <c r="I10" s="6">
        <v>0.79</v>
      </c>
    </row>
    <row r="11" spans="1:9">
      <c r="A11" s="6"/>
      <c r="B11" s="6"/>
      <c r="C11" s="6">
        <v>1.75</v>
      </c>
      <c r="D11" s="6">
        <v>0.71</v>
      </c>
      <c r="E11" s="6">
        <v>0.75</v>
      </c>
      <c r="F11" s="6">
        <v>0.78</v>
      </c>
      <c r="G11" s="6">
        <v>0.8</v>
      </c>
      <c r="H11" s="6">
        <v>0.82</v>
      </c>
      <c r="I11" s="6">
        <v>0.84</v>
      </c>
    </row>
    <row r="12" spans="1:9">
      <c r="A12" s="10" t="s">
        <v>21</v>
      </c>
      <c r="B12" s="3"/>
      <c r="C12" s="6">
        <v>2</v>
      </c>
      <c r="D12" s="6">
        <v>0.71</v>
      </c>
      <c r="E12" s="6">
        <v>0.79</v>
      </c>
      <c r="F12" s="6">
        <v>0.82</v>
      </c>
      <c r="G12" s="6">
        <v>0.84</v>
      </c>
      <c r="H12" s="6">
        <v>0.86</v>
      </c>
      <c r="I12" s="6">
        <v>0.88</v>
      </c>
    </row>
    <row r="13" spans="1:9">
      <c r="A13" s="6" t="s">
        <v>53</v>
      </c>
      <c r="B13" s="6">
        <f>Design!B15*1000</f>
        <v>3000</v>
      </c>
      <c r="C13" s="6">
        <v>2.25</v>
      </c>
      <c r="D13" s="6">
        <v>0.71</v>
      </c>
      <c r="E13" s="6">
        <v>0.81</v>
      </c>
      <c r="F13" s="6">
        <v>0.85</v>
      </c>
      <c r="G13" s="6">
        <v>0.88</v>
      </c>
      <c r="H13" s="6">
        <v>0.9</v>
      </c>
      <c r="I13" s="6">
        <v>0.92</v>
      </c>
    </row>
    <row r="14" spans="1:9">
      <c r="A14" s="6" t="s">
        <v>54</v>
      </c>
      <c r="B14" s="6">
        <f>Design!B17*1000</f>
        <v>3000</v>
      </c>
      <c r="C14" s="6">
        <v>2.5</v>
      </c>
      <c r="D14" s="6">
        <v>0.71</v>
      </c>
      <c r="E14" s="6">
        <v>0.82</v>
      </c>
      <c r="F14" s="6">
        <v>0.88</v>
      </c>
      <c r="G14" s="6">
        <v>0.91</v>
      </c>
      <c r="H14" s="6">
        <v>0.93</v>
      </c>
      <c r="I14" s="6">
        <v>0.95</v>
      </c>
    </row>
    <row r="15" spans="1:9" ht="16.5">
      <c r="A15" s="6" t="s">
        <v>45</v>
      </c>
      <c r="B15" s="6">
        <f>Design!B33-0.5*Design!B32-Design!B10</f>
        <v>742</v>
      </c>
      <c r="C15" s="6">
        <v>2.75</v>
      </c>
      <c r="D15" s="6">
        <v>0.71</v>
      </c>
      <c r="E15" s="6">
        <v>0.82</v>
      </c>
      <c r="F15" s="6">
        <v>0.9</v>
      </c>
      <c r="G15" s="6">
        <v>0.94</v>
      </c>
      <c r="H15" s="6">
        <v>0.96</v>
      </c>
      <c r="I15" s="6">
        <v>0.98</v>
      </c>
    </row>
    <row r="16" spans="1:9">
      <c r="C16" s="6">
        <v>3</v>
      </c>
      <c r="D16" s="6">
        <v>0.71</v>
      </c>
      <c r="E16" s="6">
        <v>0.82</v>
      </c>
      <c r="F16" s="6">
        <v>0.92</v>
      </c>
      <c r="G16" s="6">
        <v>0.96</v>
      </c>
      <c r="H16" s="6">
        <v>0.99</v>
      </c>
      <c r="I16" s="6">
        <v>1.01</v>
      </c>
    </row>
    <row r="17" spans="3:10">
      <c r="C17" s="6"/>
      <c r="D17" s="6"/>
      <c r="E17" s="6"/>
      <c r="F17" s="6"/>
      <c r="G17" s="6"/>
      <c r="H17" s="6"/>
      <c r="I17" s="6"/>
    </row>
    <row r="18" spans="3:10">
      <c r="C18" t="s">
        <v>38</v>
      </c>
    </row>
    <row r="19" spans="3:10">
      <c r="C19" t="s">
        <v>29</v>
      </c>
      <c r="F19" t="s">
        <v>30</v>
      </c>
      <c r="I19" t="s">
        <v>31</v>
      </c>
    </row>
    <row r="20" spans="3:10">
      <c r="C20" t="s">
        <v>26</v>
      </c>
      <c r="D20" t="s">
        <v>39</v>
      </c>
      <c r="F20" t="s">
        <v>26</v>
      </c>
      <c r="G20" t="s">
        <v>39</v>
      </c>
      <c r="I20" t="s">
        <v>26</v>
      </c>
      <c r="J20" t="s">
        <v>39</v>
      </c>
    </row>
    <row r="21" spans="3:10">
      <c r="C21">
        <v>0.25</v>
      </c>
      <c r="D21">
        <f>VLOOKUP(C21,C4:I16,MATCH(Design!B8,References!C3:I3,0))</f>
        <v>0.36</v>
      </c>
      <c r="F21">
        <v>0.15</v>
      </c>
      <c r="G21">
        <f>VLOOKUP(F21,C4:I16,MATCH(Design!B8,References!C3:I3,0))</f>
        <v>0.28999999999999998</v>
      </c>
      <c r="I21">
        <v>3</v>
      </c>
      <c r="J21">
        <f>VLOOKUP(I21,C4:I16,MATCH(Design!B8,References!C3:I3,0))</f>
        <v>0.92</v>
      </c>
    </row>
    <row r="22" spans="3:10">
      <c r="C22">
        <f>Design!E19</f>
        <v>0.13548647562651397</v>
      </c>
      <c r="D22">
        <f>D23-((C23-C22)/(C23-C21))*(D23-D21)</f>
        <v>0.30045296732578725</v>
      </c>
    </row>
    <row r="23" spans="3:10">
      <c r="C23">
        <v>0.5</v>
      </c>
      <c r="D23">
        <f>VLOOKUP(C23,C4:I16,MATCH(Design!B8,References!C3:I3,0))</f>
        <v>0.49</v>
      </c>
    </row>
    <row r="25" spans="3:10">
      <c r="C25" t="s">
        <v>40</v>
      </c>
    </row>
    <row r="26" spans="3:10">
      <c r="C26" t="s">
        <v>29</v>
      </c>
      <c r="F26" t="s">
        <v>30</v>
      </c>
      <c r="I26" t="s">
        <v>31</v>
      </c>
    </row>
    <row r="27" spans="3:10">
      <c r="C27" t="s">
        <v>26</v>
      </c>
      <c r="D27" t="s">
        <v>39</v>
      </c>
      <c r="F27" t="s">
        <v>26</v>
      </c>
      <c r="G27" t="s">
        <v>39</v>
      </c>
      <c r="I27" t="s">
        <v>26</v>
      </c>
      <c r="J27" t="s">
        <v>39</v>
      </c>
    </row>
    <row r="28" spans="3:10">
      <c r="C28">
        <v>0.25</v>
      </c>
      <c r="D28">
        <f>VLOOKUP(C28,C4:I16,MATCH(Design!B8,References!C3:I3,0))</f>
        <v>0.36</v>
      </c>
      <c r="F28">
        <v>0.15</v>
      </c>
      <c r="G28">
        <f>VLOOKUP(F28,C4:I16,MATCH(Design!B8,References!C3:I3,0))</f>
        <v>0.28999999999999998</v>
      </c>
      <c r="I28">
        <v>3</v>
      </c>
      <c r="J28">
        <f>VLOOKUP(I28,C4:I16,MATCH(Design!B8,References!C3:I3,0))</f>
        <v>0.92</v>
      </c>
    </row>
    <row r="29" spans="3:10">
      <c r="C29">
        <f>Design!E24</f>
        <v>0.13548647562651397</v>
      </c>
      <c r="D29">
        <f>D30-((C30-C29)/(C30-C28))*(D30-D28)</f>
        <v>0.30045296732578725</v>
      </c>
    </row>
    <row r="30" spans="3:10">
      <c r="C30">
        <v>0.5</v>
      </c>
      <c r="D30">
        <f>VLOOKUP(C30,C4:I16,MATCH(Design!B8,References!C3:I3,0))</f>
        <v>0.49</v>
      </c>
    </row>
  </sheetData>
  <mergeCells count="2">
    <mergeCell ref="C1:I1"/>
    <mergeCell ref="D2:I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4" workbookViewId="0">
      <selection activeCell="D21" sqref="D21:D22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Design</vt:lpstr>
      <vt:lpstr>References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Laptop</dc:creator>
  <cp:lastModifiedBy>DELL</cp:lastModifiedBy>
  <cp:lastPrinted>2021-05-31T09:34:38Z</cp:lastPrinted>
  <dcterms:created xsi:type="dcterms:W3CDTF">2020-03-04T16:19:55Z</dcterms:created>
  <dcterms:modified xsi:type="dcterms:W3CDTF">2021-05-31T09:39:42Z</dcterms:modified>
</cp:coreProperties>
</file>