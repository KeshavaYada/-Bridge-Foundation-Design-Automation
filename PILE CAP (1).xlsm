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project\excels\"/>
    </mc:Choice>
  </mc:AlternateContent>
  <bookViews>
    <workbookView xWindow="-120" yWindow="-120" windowWidth="20730" windowHeight="11160" activeTab="2"/>
  </bookViews>
  <sheets>
    <sheet name="REACTIONS" sheetId="1" r:id="rId1"/>
    <sheet name="design(is 456)" sheetId="2" r:id="rId2"/>
    <sheet name="design irc 112" sheetId="4" r:id="rId3"/>
    <sheet name="reference-456" sheetId="3" r:id="rId4"/>
    <sheet name="reference -112" sheetId="5" r:id="rId5"/>
  </sheets>
  <externalReferences>
    <externalReference r:id="rId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4" l="1"/>
  <c r="C13" i="4"/>
  <c r="B14" i="4"/>
  <c r="G31" i="2" l="1"/>
  <c r="D8" i="2"/>
  <c r="G36" i="4"/>
  <c r="G37" i="4" s="1"/>
  <c r="G39" i="4" s="1"/>
  <c r="G28" i="4"/>
  <c r="G19" i="4"/>
  <c r="D17" i="4"/>
  <c r="G43" i="4"/>
  <c r="G44" i="4" s="1"/>
  <c r="G46" i="4" s="1"/>
  <c r="G5" i="4"/>
  <c r="G12" i="4" s="1"/>
  <c r="D4" i="4"/>
  <c r="D7" i="4" s="1"/>
  <c r="G8" i="4" s="1"/>
  <c r="D3" i="4"/>
  <c r="D6" i="4" s="1"/>
  <c r="G15" i="4" s="1"/>
  <c r="G46" i="2"/>
  <c r="G43" i="2"/>
  <c r="G44" i="2" s="1"/>
  <c r="G29" i="2"/>
  <c r="G178" i="1"/>
  <c r="G47" i="2" l="1"/>
  <c r="G185" i="1"/>
  <c r="H183" i="1"/>
  <c r="G179" i="1"/>
  <c r="H184" i="1" s="1"/>
  <c r="B100" i="1"/>
  <c r="B101" i="1"/>
  <c r="B102" i="1"/>
  <c r="B103" i="1"/>
  <c r="B104" i="1"/>
  <c r="B105" i="1"/>
  <c r="B106" i="1"/>
  <c r="B107" i="1"/>
  <c r="B108" i="1"/>
  <c r="B109" i="1"/>
  <c r="D180" i="1"/>
  <c r="E179" i="1"/>
  <c r="E180" i="1" s="1"/>
  <c r="G184" i="1" l="1"/>
  <c r="G181" i="1" s="1"/>
  <c r="G39" i="2"/>
  <c r="G36" i="2"/>
  <c r="G37" i="2" s="1"/>
  <c r="K78" i="1"/>
  <c r="K77" i="1"/>
  <c r="K76" i="1"/>
  <c r="K75" i="1"/>
  <c r="K74" i="1"/>
  <c r="K73" i="1"/>
  <c r="K72" i="1"/>
  <c r="K71" i="1"/>
  <c r="K70" i="1"/>
  <c r="K69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K52" i="1"/>
  <c r="K53" i="1"/>
  <c r="K54" i="1"/>
  <c r="K55" i="1"/>
  <c r="K56" i="1"/>
  <c r="K57" i="1"/>
  <c r="K58" i="1"/>
  <c r="K59" i="1"/>
  <c r="K60" i="1"/>
  <c r="K61" i="1"/>
  <c r="G5" i="2"/>
  <c r="G12" i="2" s="1"/>
  <c r="D12" i="2"/>
  <c r="D4" i="2"/>
  <c r="D7" i="2" s="1"/>
  <c r="D3" i="2"/>
  <c r="D6" i="2" s="1"/>
  <c r="D30" i="3"/>
  <c r="C29" i="3"/>
  <c r="J28" i="3"/>
  <c r="G28" i="3"/>
  <c r="D28" i="3"/>
  <c r="D23" i="3"/>
  <c r="C22" i="3"/>
  <c r="J21" i="3"/>
  <c r="G21" i="3"/>
  <c r="G30" i="2" s="1"/>
  <c r="D21" i="3"/>
  <c r="B10" i="3"/>
  <c r="F67" i="1"/>
  <c r="F68" i="1"/>
  <c r="F69" i="1"/>
  <c r="F70" i="1"/>
  <c r="F71" i="1"/>
  <c r="F72" i="1"/>
  <c r="F73" i="1"/>
  <c r="F74" i="1"/>
  <c r="F75" i="1"/>
  <c r="F76" i="1"/>
  <c r="F77" i="1"/>
  <c r="H67" i="1"/>
  <c r="H68" i="1"/>
  <c r="H69" i="1"/>
  <c r="H70" i="1"/>
  <c r="H71" i="1"/>
  <c r="H72" i="1"/>
  <c r="H73" i="1"/>
  <c r="H74" i="1"/>
  <c r="H75" i="1"/>
  <c r="H76" i="1"/>
  <c r="H77" i="1"/>
  <c r="G67" i="1"/>
  <c r="G68" i="1"/>
  <c r="G69" i="1"/>
  <c r="G70" i="1"/>
  <c r="G71" i="1"/>
  <c r="G72" i="1"/>
  <c r="G73" i="1"/>
  <c r="G74" i="1"/>
  <c r="G75" i="1"/>
  <c r="G76" i="1"/>
  <c r="G77" i="1"/>
  <c r="T53" i="1"/>
  <c r="T54" i="1"/>
  <c r="D67" i="1"/>
  <c r="D68" i="1"/>
  <c r="D69" i="1"/>
  <c r="D70" i="1"/>
  <c r="D71" i="1"/>
  <c r="D72" i="1"/>
  <c r="D73" i="1"/>
  <c r="D74" i="1"/>
  <c r="D75" i="1"/>
  <c r="D76" i="1"/>
  <c r="D77" i="1"/>
  <c r="C67" i="1"/>
  <c r="C68" i="1"/>
  <c r="C69" i="1"/>
  <c r="C70" i="1"/>
  <c r="C71" i="1"/>
  <c r="C72" i="1"/>
  <c r="C73" i="1"/>
  <c r="C74" i="1"/>
  <c r="C75" i="1"/>
  <c r="C76" i="1"/>
  <c r="C77" i="1"/>
  <c r="B67" i="1"/>
  <c r="B68" i="1"/>
  <c r="B69" i="1"/>
  <c r="B70" i="1"/>
  <c r="B71" i="1"/>
  <c r="B72" i="1"/>
  <c r="B73" i="1"/>
  <c r="B74" i="1"/>
  <c r="B75" i="1"/>
  <c r="B76" i="1"/>
  <c r="B77" i="1"/>
  <c r="L10" i="1"/>
  <c r="G15" i="2" l="1"/>
  <c r="G183" i="1"/>
  <c r="H185" i="1"/>
  <c r="G8" i="2"/>
  <c r="G40" i="2"/>
  <c r="D29" i="3"/>
  <c r="D22" i="3"/>
  <c r="S28" i="1"/>
  <c r="T28" i="1" l="1"/>
  <c r="C179" i="1" l="1"/>
  <c r="B178" i="1"/>
  <c r="C176" i="1"/>
  <c r="C180" i="1" s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C153" i="1"/>
  <c r="E153" i="1" s="1"/>
  <c r="C154" i="1"/>
  <c r="E154" i="1" s="1"/>
  <c r="C155" i="1"/>
  <c r="E155" i="1" s="1"/>
  <c r="C156" i="1"/>
  <c r="E156" i="1" s="1"/>
  <c r="C157" i="1"/>
  <c r="E157" i="1" s="1"/>
  <c r="C158" i="1"/>
  <c r="E158" i="1" s="1"/>
  <c r="C159" i="1"/>
  <c r="E159" i="1" s="1"/>
  <c r="C160" i="1"/>
  <c r="E160" i="1" s="1"/>
  <c r="C161" i="1"/>
  <c r="E161" i="1" s="1"/>
  <c r="C162" i="1"/>
  <c r="E162" i="1" s="1"/>
  <c r="C163" i="1"/>
  <c r="E163" i="1" s="1"/>
  <c r="C164" i="1"/>
  <c r="E164" i="1" s="1"/>
  <c r="C165" i="1"/>
  <c r="E165" i="1" s="1"/>
  <c r="C166" i="1"/>
  <c r="E166" i="1" s="1"/>
  <c r="C167" i="1"/>
  <c r="E167" i="1" s="1"/>
  <c r="C168" i="1"/>
  <c r="E168" i="1" s="1"/>
  <c r="C169" i="1"/>
  <c r="E169" i="1" s="1"/>
  <c r="B153" i="1"/>
  <c r="D153" i="1" s="1"/>
  <c r="B154" i="1"/>
  <c r="D154" i="1" s="1"/>
  <c r="B155" i="1"/>
  <c r="D155" i="1" s="1"/>
  <c r="B156" i="1"/>
  <c r="D156" i="1" s="1"/>
  <c r="B157" i="1"/>
  <c r="D157" i="1" s="1"/>
  <c r="B158" i="1"/>
  <c r="D158" i="1" s="1"/>
  <c r="B159" i="1"/>
  <c r="D159" i="1" s="1"/>
  <c r="B160" i="1"/>
  <c r="D160" i="1" s="1"/>
  <c r="B161" i="1"/>
  <c r="D161" i="1" s="1"/>
  <c r="B162" i="1"/>
  <c r="D162" i="1" s="1"/>
  <c r="B163" i="1"/>
  <c r="D163" i="1" s="1"/>
  <c r="B164" i="1"/>
  <c r="D164" i="1" s="1"/>
  <c r="B165" i="1"/>
  <c r="D165" i="1" s="1"/>
  <c r="B166" i="1"/>
  <c r="D166" i="1" s="1"/>
  <c r="B167" i="1"/>
  <c r="D167" i="1" s="1"/>
  <c r="B168" i="1"/>
  <c r="D168" i="1" s="1"/>
  <c r="B169" i="1"/>
  <c r="D169" i="1" s="1"/>
  <c r="A146" i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D141" i="1"/>
  <c r="C181" i="1" s="1"/>
  <c r="C141" i="1"/>
  <c r="B175" i="1" s="1"/>
  <c r="B176" i="1" s="1"/>
  <c r="I11" i="1"/>
  <c r="B39" i="1"/>
  <c r="G22" i="1"/>
  <c r="G21" i="1"/>
  <c r="C15" i="1"/>
  <c r="N30" i="1" l="1"/>
  <c r="O30" i="1"/>
  <c r="P30" i="1" s="1"/>
  <c r="N22" i="1"/>
  <c r="O22" i="1"/>
  <c r="P22" i="1" s="1"/>
  <c r="N18" i="1"/>
  <c r="O18" i="1"/>
  <c r="P18" i="1" s="1"/>
  <c r="N33" i="1"/>
  <c r="O33" i="1"/>
  <c r="P33" i="1" s="1"/>
  <c r="N29" i="1"/>
  <c r="O29" i="1"/>
  <c r="P29" i="1" s="1"/>
  <c r="N25" i="1"/>
  <c r="O25" i="1"/>
  <c r="P25" i="1" s="1"/>
  <c r="N21" i="1"/>
  <c r="O21" i="1"/>
  <c r="P21" i="1" s="1"/>
  <c r="N32" i="1"/>
  <c r="O32" i="1"/>
  <c r="P32" i="1" s="1"/>
  <c r="N24" i="1"/>
  <c r="O24" i="1"/>
  <c r="P24" i="1" s="1"/>
  <c r="N20" i="1"/>
  <c r="O20" i="1"/>
  <c r="P20" i="1" s="1"/>
  <c r="N34" i="1"/>
  <c r="O34" i="1"/>
  <c r="P34" i="1" s="1"/>
  <c r="N26" i="1"/>
  <c r="O26" i="1"/>
  <c r="P26" i="1" s="1"/>
  <c r="N28" i="1"/>
  <c r="O28" i="1"/>
  <c r="P28" i="1" s="1"/>
  <c r="N31" i="1"/>
  <c r="O31" i="1"/>
  <c r="P31" i="1" s="1"/>
  <c r="N27" i="1"/>
  <c r="O27" i="1"/>
  <c r="P27" i="1" s="1"/>
  <c r="N23" i="1"/>
  <c r="O23" i="1"/>
  <c r="P23" i="1" s="1"/>
  <c r="N19" i="1"/>
  <c r="O19" i="1"/>
  <c r="P19" i="1" s="1"/>
  <c r="C152" i="1"/>
  <c r="E152" i="1" s="1"/>
  <c r="C151" i="1"/>
  <c r="E151" i="1" s="1"/>
  <c r="C150" i="1"/>
  <c r="E150" i="1" s="1"/>
  <c r="B151" i="1"/>
  <c r="D151" i="1" s="1"/>
  <c r="B150" i="1"/>
  <c r="D150" i="1" s="1"/>
  <c r="B152" i="1"/>
  <c r="C149" i="1"/>
  <c r="E149" i="1" s="1"/>
  <c r="B149" i="1"/>
  <c r="D35" i="1"/>
  <c r="B179" i="1"/>
  <c r="B180" i="1" s="1"/>
  <c r="B148" i="1"/>
  <c r="D148" i="1" s="1"/>
  <c r="B181" i="1"/>
  <c r="B182" i="1" s="1"/>
  <c r="C148" i="1"/>
  <c r="E148" i="1" s="1"/>
  <c r="C177" i="1"/>
  <c r="C178" i="1" s="1"/>
  <c r="C182" i="1"/>
  <c r="C183" i="1" s="1"/>
  <c r="C185" i="1"/>
  <c r="C184" i="1"/>
  <c r="B147" i="1"/>
  <c r="B184" i="1"/>
  <c r="B183" i="1" s="1"/>
  <c r="B145" i="1"/>
  <c r="B146" i="1"/>
  <c r="C147" i="1"/>
  <c r="E147" i="1" s="1"/>
  <c r="I12" i="1"/>
  <c r="L11" i="1"/>
  <c r="C145" i="1"/>
  <c r="E145" i="1" s="1"/>
  <c r="C146" i="1"/>
  <c r="E146" i="1" s="1"/>
  <c r="D152" i="1" l="1"/>
  <c r="D149" i="1"/>
  <c r="B185" i="1"/>
  <c r="D146" i="1"/>
  <c r="E170" i="1"/>
  <c r="I13" i="1"/>
  <c r="L12" i="1"/>
  <c r="S30" i="1" s="1"/>
  <c r="T30" i="1" s="1"/>
  <c r="D145" i="1"/>
  <c r="S29" i="1"/>
  <c r="D147" i="1"/>
  <c r="D170" i="1" l="1"/>
  <c r="M17" i="1" s="1"/>
  <c r="I14" i="1"/>
  <c r="L13" i="1"/>
  <c r="T29" i="1"/>
  <c r="G64" i="1"/>
  <c r="B99" i="1" l="1"/>
  <c r="O17" i="1"/>
  <c r="P17" i="1" s="1"/>
  <c r="N17" i="1"/>
  <c r="K68" i="1"/>
  <c r="M11" i="1"/>
  <c r="M15" i="1"/>
  <c r="M16" i="1"/>
  <c r="O16" i="1" s="1"/>
  <c r="P16" i="1" s="1"/>
  <c r="M13" i="1"/>
  <c r="M14" i="1"/>
  <c r="M10" i="1"/>
  <c r="M12" i="1"/>
  <c r="O12" i="1" s="1"/>
  <c r="P12" i="1" s="1"/>
  <c r="O50" i="1"/>
  <c r="S31" i="1"/>
  <c r="I15" i="1"/>
  <c r="L14" i="1"/>
  <c r="F64" i="1" l="1"/>
  <c r="H64" i="1" s="1"/>
  <c r="G48" i="4"/>
  <c r="H48" i="4" s="1"/>
  <c r="N13" i="1"/>
  <c r="O13" i="1"/>
  <c r="P13" i="1" s="1"/>
  <c r="N10" i="1"/>
  <c r="O10" i="1"/>
  <c r="P10" i="1" s="1"/>
  <c r="G48" i="2"/>
  <c r="H48" i="2" s="1"/>
  <c r="N15" i="1"/>
  <c r="O15" i="1"/>
  <c r="P15" i="1" s="1"/>
  <c r="B97" i="1"/>
  <c r="O14" i="1"/>
  <c r="P14" i="1" s="1"/>
  <c r="N11" i="1"/>
  <c r="O11" i="1"/>
  <c r="P11" i="1" s="1"/>
  <c r="N16" i="1"/>
  <c r="B98" i="1"/>
  <c r="N12" i="1"/>
  <c r="K66" i="1"/>
  <c r="N14" i="1"/>
  <c r="K67" i="1"/>
  <c r="O49" i="1"/>
  <c r="S32" i="1"/>
  <c r="T32" i="1" s="1"/>
  <c r="C64" i="1"/>
  <c r="O53" i="1"/>
  <c r="O51" i="1"/>
  <c r="F65" i="1"/>
  <c r="O52" i="1"/>
  <c r="I16" i="1"/>
  <c r="C65" i="1" s="1"/>
  <c r="L15" i="1"/>
  <c r="O54" i="1" s="1"/>
  <c r="T31" i="1"/>
  <c r="G65" i="1" s="1"/>
  <c r="B110" i="1" l="1"/>
  <c r="G32" i="2" s="1"/>
  <c r="H32" i="2" s="1"/>
  <c r="K79" i="1"/>
  <c r="S33" i="1"/>
  <c r="T33" i="1" s="1"/>
  <c r="B64" i="1"/>
  <c r="D64" i="1" s="1"/>
  <c r="H65" i="1"/>
  <c r="I17" i="1"/>
  <c r="L16" i="1"/>
  <c r="O55" i="1" s="1"/>
  <c r="G26" i="2" l="1"/>
  <c r="G32" i="4"/>
  <c r="B65" i="1"/>
  <c r="D65" i="1" s="1"/>
  <c r="S34" i="1"/>
  <c r="T34" i="1" s="1"/>
  <c r="I18" i="1"/>
  <c r="L17" i="1"/>
  <c r="S35" i="1" s="1"/>
  <c r="T35" i="1" s="1"/>
  <c r="K51" i="1" l="1"/>
  <c r="I19" i="1"/>
  <c r="L18" i="1"/>
  <c r="S36" i="1" s="1"/>
  <c r="T36" i="1" s="1"/>
  <c r="I20" i="1" l="1"/>
  <c r="L19" i="1"/>
  <c r="S37" i="1" s="1"/>
  <c r="T37" i="1" s="1"/>
  <c r="I21" i="1" l="1"/>
  <c r="L20" i="1"/>
  <c r="S38" i="1" s="1"/>
  <c r="T38" i="1" s="1"/>
  <c r="I22" i="1" l="1"/>
  <c r="L21" i="1"/>
  <c r="S39" i="1" s="1"/>
  <c r="T39" i="1" s="1"/>
  <c r="I23" i="1" l="1"/>
  <c r="L22" i="1"/>
  <c r="S40" i="1" s="1"/>
  <c r="T40" i="1" s="1"/>
  <c r="I24" i="1" l="1"/>
  <c r="L23" i="1"/>
  <c r="S41" i="1" s="1"/>
  <c r="T41" i="1" s="1"/>
  <c r="I25" i="1" l="1"/>
  <c r="L24" i="1"/>
  <c r="S43" i="1" s="1"/>
  <c r="T43" i="1" s="1"/>
  <c r="I26" i="1" l="1"/>
  <c r="L25" i="1"/>
  <c r="S44" i="1" s="1"/>
  <c r="T44" i="1" s="1"/>
  <c r="I27" i="1" l="1"/>
  <c r="L26" i="1"/>
  <c r="S45" i="1" s="1"/>
  <c r="T45" i="1" s="1"/>
  <c r="I28" i="1" l="1"/>
  <c r="L27" i="1"/>
  <c r="S46" i="1" s="1"/>
  <c r="T46" i="1" s="1"/>
  <c r="I29" i="1" l="1"/>
  <c r="L28" i="1"/>
  <c r="S47" i="1" s="1"/>
  <c r="T47" i="1" s="1"/>
  <c r="I30" i="1" l="1"/>
  <c r="L29" i="1"/>
  <c r="S48" i="1" s="1"/>
  <c r="T48" i="1" s="1"/>
  <c r="I31" i="1" l="1"/>
  <c r="L30" i="1"/>
  <c r="S49" i="1" s="1"/>
  <c r="T49" i="1" s="1"/>
  <c r="I32" i="1" l="1"/>
  <c r="L31" i="1"/>
  <c r="S50" i="1" s="1"/>
  <c r="T50" i="1" s="1"/>
  <c r="I33" i="1" l="1"/>
  <c r="L32" i="1"/>
  <c r="S51" i="1" s="1"/>
  <c r="T51" i="1" s="1"/>
  <c r="I34" i="1" l="1"/>
  <c r="L33" i="1"/>
  <c r="S52" i="1" s="1"/>
  <c r="T52" i="1" s="1"/>
  <c r="G66" i="1" s="1"/>
  <c r="L34" i="1" l="1"/>
  <c r="C66" i="1"/>
  <c r="K49" i="1" l="1"/>
  <c r="O56" i="1"/>
  <c r="O72" i="1" s="1"/>
  <c r="F66" i="1"/>
  <c r="H66" i="1" s="1"/>
  <c r="H78" i="1" s="1"/>
  <c r="B66" i="1"/>
  <c r="D66" i="1" s="1"/>
  <c r="D78" i="1" s="1"/>
  <c r="K50" i="1"/>
  <c r="F5" i="2" l="1"/>
  <c r="H8" i="2" s="1"/>
  <c r="F12" i="4"/>
  <c r="F12" i="2"/>
  <c r="H15" i="2" s="1"/>
  <c r="F5" i="4"/>
  <c r="G41" i="2"/>
  <c r="H41" i="2" s="1"/>
  <c r="G41" i="4"/>
  <c r="H41" i="4" s="1"/>
  <c r="E80" i="1"/>
  <c r="D11" i="2" s="1"/>
  <c r="A13" i="2" s="1"/>
  <c r="K62" i="1"/>
  <c r="H5" i="2" l="1"/>
  <c r="I5" i="2" s="1"/>
  <c r="H12" i="2"/>
  <c r="I12" i="2" s="1"/>
  <c r="D16" i="4"/>
  <c r="A18" i="4" s="1"/>
  <c r="H12" i="4"/>
  <c r="H15" i="4"/>
  <c r="G21" i="2"/>
  <c r="G25" i="4"/>
  <c r="H8" i="4"/>
  <c r="H5" i="4"/>
  <c r="F15" i="2" l="1"/>
  <c r="G24" i="2" s="1"/>
  <c r="G25" i="2" s="1"/>
  <c r="H26" i="2" s="1"/>
  <c r="F8" i="2"/>
  <c r="G19" i="2" s="1"/>
  <c r="G20" i="2" s="1"/>
  <c r="H21" i="2" s="1"/>
  <c r="F8" i="4"/>
  <c r="G23" i="4" s="1"/>
  <c r="G20" i="4" s="1"/>
  <c r="H25" i="4" s="1"/>
  <c r="I5" i="4"/>
  <c r="I12" i="4"/>
  <c r="F15" i="4"/>
  <c r="G30" i="4" s="1"/>
  <c r="G29" i="4" s="1"/>
  <c r="H32" i="4" s="1"/>
</calcChain>
</file>

<file path=xl/sharedStrings.xml><?xml version="1.0" encoding="utf-8"?>
<sst xmlns="http://schemas.openxmlformats.org/spreadsheetml/2006/main" count="294" uniqueCount="147">
  <si>
    <t>INPUT</t>
  </si>
  <si>
    <t>B</t>
  </si>
  <si>
    <t>=</t>
  </si>
  <si>
    <t>m</t>
  </si>
  <si>
    <t>D</t>
  </si>
  <si>
    <t>2) MATERIAL PROPERTIES</t>
  </si>
  <si>
    <t>REBAR</t>
  </si>
  <si>
    <t>fy</t>
  </si>
  <si>
    <t>N/mm2</t>
  </si>
  <si>
    <t>CONCRETE</t>
  </si>
  <si>
    <r>
      <t>f</t>
    </r>
    <r>
      <rPr>
        <vertAlign val="subscript"/>
        <sz val="11"/>
        <color theme="1"/>
        <rFont val="Calibri"/>
        <family val="2"/>
        <scheme val="minor"/>
      </rPr>
      <t>ck</t>
    </r>
  </si>
  <si>
    <r>
      <t>E</t>
    </r>
    <r>
      <rPr>
        <vertAlign val="subscript"/>
        <sz val="11"/>
        <color theme="1"/>
        <rFont val="Calibri"/>
        <family val="2"/>
        <scheme val="minor"/>
      </rPr>
      <t>S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</si>
  <si>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</si>
  <si>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t>3) loading data</t>
  </si>
  <si>
    <r>
      <t>P</t>
    </r>
    <r>
      <rPr>
        <vertAlign val="subscript"/>
        <sz val="11"/>
        <color theme="1"/>
        <rFont val="Calibri"/>
        <family val="2"/>
        <scheme val="minor"/>
      </rPr>
      <t>X</t>
    </r>
  </si>
  <si>
    <r>
      <t>P</t>
    </r>
    <r>
      <rPr>
        <vertAlign val="subscript"/>
        <sz val="11"/>
        <color theme="1"/>
        <rFont val="Calibri"/>
        <family val="2"/>
        <scheme val="minor"/>
      </rPr>
      <t>Y</t>
    </r>
  </si>
  <si>
    <r>
      <t>P</t>
    </r>
    <r>
      <rPr>
        <vertAlign val="subscript"/>
        <sz val="11"/>
        <color theme="1"/>
        <rFont val="Calibri"/>
        <family val="2"/>
        <scheme val="minor"/>
      </rPr>
      <t>Z</t>
    </r>
  </si>
  <si>
    <r>
      <t>M</t>
    </r>
    <r>
      <rPr>
        <vertAlign val="subscript"/>
        <sz val="11"/>
        <color theme="1"/>
        <rFont val="Calibri"/>
        <family val="2"/>
        <scheme val="minor"/>
      </rPr>
      <t>X</t>
    </r>
  </si>
  <si>
    <r>
      <t>e</t>
    </r>
    <r>
      <rPr>
        <vertAlign val="subscript"/>
        <sz val="11"/>
        <color theme="1"/>
        <rFont val="Calibri"/>
        <family val="2"/>
        <scheme val="minor"/>
      </rPr>
      <t>x</t>
    </r>
  </si>
  <si>
    <r>
      <t>M</t>
    </r>
    <r>
      <rPr>
        <vertAlign val="subscript"/>
        <sz val="11"/>
        <color theme="1"/>
        <rFont val="Calibri"/>
        <family val="2"/>
        <scheme val="minor"/>
      </rPr>
      <t>Y</t>
    </r>
  </si>
  <si>
    <r>
      <t>e</t>
    </r>
    <r>
      <rPr>
        <vertAlign val="subscript"/>
        <sz val="11"/>
        <color theme="1"/>
        <rFont val="Calibri"/>
        <family val="2"/>
        <scheme val="minor"/>
      </rPr>
      <t>y</t>
    </r>
  </si>
  <si>
    <t>4)PILE DATA</t>
  </si>
  <si>
    <t>PILE DIMENSIONS:</t>
  </si>
  <si>
    <t>L(length)</t>
  </si>
  <si>
    <t>CAPACITIES:</t>
  </si>
  <si>
    <t>1) PILE LOAD  CAPACITY</t>
  </si>
  <si>
    <t xml:space="preserve">2) UPLIFT CAPACITY      </t>
  </si>
  <si>
    <t>3) LATERAL LOAD CAPACITY</t>
  </si>
  <si>
    <t>NO OF PILES REQUIRED</t>
  </si>
  <si>
    <t>OVER HANG=</t>
  </si>
  <si>
    <t>SPACING=</t>
  </si>
  <si>
    <t>mm</t>
  </si>
  <si>
    <t>mm(3*d)</t>
  </si>
  <si>
    <t>Arrangement of pile group(ENTER CORDINATES)</t>
  </si>
  <si>
    <t>PILE NUMBER</t>
  </si>
  <si>
    <t>Y</t>
  </si>
  <si>
    <t xml:space="preserve">X(M) </t>
  </si>
  <si>
    <t>Y(M)</t>
  </si>
  <si>
    <t>CENTROID OF GROUP</t>
  </si>
  <si>
    <t>X</t>
  </si>
  <si>
    <t>X(M)</t>
  </si>
  <si>
    <t>DISTANCES FROM CENTROID</t>
  </si>
  <si>
    <t>X^2</t>
  </si>
  <si>
    <t>Y^2</t>
  </si>
  <si>
    <t>SUM=</t>
  </si>
  <si>
    <t>PILE REACTIONS</t>
  </si>
  <si>
    <t>CRITICAL SECTIONS</t>
  </si>
  <si>
    <t>IN X</t>
  </si>
  <si>
    <t>MOMENT</t>
  </si>
  <si>
    <t>IN Y</t>
  </si>
  <si>
    <t>ONEWAY</t>
  </si>
  <si>
    <t>Asume depth of pile cap</t>
  </si>
  <si>
    <t>two way</t>
  </si>
  <si>
    <t>BREDTH(B)</t>
  </si>
  <si>
    <t>DIMENSIONS OF PILE CAP</t>
  </si>
  <si>
    <t>P</t>
  </si>
  <si>
    <t>FORCE(KN)</t>
  </si>
  <si>
    <t>DIST</t>
  </si>
  <si>
    <t>TOTAL</t>
  </si>
  <si>
    <t>TAKE 1 ST PILE AS ORIGIN</t>
  </si>
  <si>
    <t>Steel provided</t>
  </si>
  <si>
    <t>long direction</t>
  </si>
  <si>
    <t>Spacing (mm)</t>
  </si>
  <si>
    <t xml:space="preserve">short direction </t>
  </si>
  <si>
    <t>One way shear</t>
  </si>
  <si>
    <t>In X direction</t>
  </si>
  <si>
    <t>Steel percent (pt%)</t>
  </si>
  <si>
    <t>In Y direction</t>
  </si>
  <si>
    <t>Two way shear</t>
  </si>
  <si>
    <t>Perimeter of critical section (mm)</t>
  </si>
  <si>
    <t>Permissible shear (N)</t>
  </si>
  <si>
    <t>pt%</t>
  </si>
  <si>
    <t>fck</t>
  </si>
  <si>
    <t>For 0.15&lt; pt% &lt;3</t>
  </si>
  <si>
    <t xml:space="preserve"> For pt% &lt;= 0.15</t>
  </si>
  <si>
    <t xml:space="preserve"> For pt% &gt;= 3</t>
  </si>
  <si>
    <t>LENGTH(L)</t>
  </si>
  <si>
    <t>REVISE</t>
  </si>
  <si>
    <t>DEPTH CALCULATION</t>
  </si>
  <si>
    <t>d from moment</t>
  </si>
  <si>
    <t>d from devlopement length</t>
  </si>
  <si>
    <t>MAX MOMENT=</t>
  </si>
  <si>
    <t>DIA OF BARS</t>
  </si>
  <si>
    <t>1)COLUMN DATA:</t>
  </si>
  <si>
    <t>DIA OF BARS IN PILE CAP(mm)</t>
  </si>
  <si>
    <t>Consider piles out side critical section</t>
  </si>
  <si>
    <t>Forces for two way</t>
  </si>
  <si>
    <t>Forces for one way(X)</t>
  </si>
  <si>
    <t>Forces for one way(Y)</t>
  </si>
  <si>
    <t>Shear (N)</t>
  </si>
  <si>
    <t>ENTER NO OF PILES</t>
  </si>
  <si>
    <r>
      <t>Design shear strength of concrete,τ</t>
    </r>
    <r>
      <rPr>
        <b/>
        <vertAlign val="subscript"/>
        <sz val="11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>, (N/mm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</si>
  <si>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(fck), (N/mm</t>
    </r>
    <r>
      <rPr>
        <b/>
        <vertAlign val="superscript"/>
        <sz val="10"/>
        <color theme="1"/>
        <rFont val="Calibri"/>
        <family val="2"/>
        <scheme val="minor"/>
      </rPr>
      <t>2</t>
    </r>
    <r>
      <rPr>
        <b/>
        <sz val="10"/>
        <color theme="1"/>
        <rFont val="Calibri"/>
        <family val="2"/>
        <scheme val="minor"/>
      </rPr>
      <t xml:space="preserve">) </t>
    </r>
  </si>
  <si>
    <r>
      <t>Design bond stress in limit state method for plain bars in tension(τ</t>
    </r>
    <r>
      <rPr>
        <b/>
        <vertAlign val="subscript"/>
        <sz val="10"/>
        <color theme="1"/>
        <rFont val="Calibri"/>
        <family val="2"/>
        <scheme val="minor"/>
      </rPr>
      <t>bd</t>
    </r>
    <r>
      <rPr>
        <b/>
        <sz val="10"/>
        <color theme="1"/>
        <rFont val="Calibri"/>
        <family val="2"/>
        <scheme val="minor"/>
      </rPr>
      <t>) (N/mm</t>
    </r>
    <r>
      <rPr>
        <b/>
        <vertAlign val="superscript"/>
        <sz val="10"/>
        <color theme="1"/>
        <rFont val="Calibri"/>
        <family val="2"/>
        <scheme val="minor"/>
      </rPr>
      <t>2</t>
    </r>
    <r>
      <rPr>
        <b/>
        <sz val="10"/>
        <color theme="1"/>
        <rFont val="Calibri"/>
        <family val="2"/>
        <scheme val="minor"/>
      </rPr>
      <t>)</t>
    </r>
  </si>
  <si>
    <r>
      <t>Interpolation for X direction for τ</t>
    </r>
    <r>
      <rPr>
        <vertAlign val="subscript"/>
        <sz val="10"/>
        <color theme="1"/>
        <rFont val="Calibri"/>
        <family val="2"/>
        <scheme val="minor"/>
      </rPr>
      <t>c</t>
    </r>
  </si>
  <si>
    <r>
      <t>τ</t>
    </r>
    <r>
      <rPr>
        <vertAlign val="subscript"/>
        <sz val="10"/>
        <color theme="1"/>
        <rFont val="Calibri"/>
        <family val="2"/>
        <scheme val="minor"/>
      </rPr>
      <t>c</t>
    </r>
  </si>
  <si>
    <r>
      <t>Interpolation for Y direction for τ</t>
    </r>
    <r>
      <rPr>
        <vertAlign val="subscript"/>
        <sz val="10"/>
        <color theme="1"/>
        <rFont val="Calibri"/>
        <family val="2"/>
        <scheme val="minor"/>
      </rPr>
      <t>c</t>
    </r>
  </si>
  <si>
    <t>D(DIA )</t>
  </si>
  <si>
    <t>MIN steel</t>
  </si>
  <si>
    <t>FOR CORNER PILE CHECK</t>
  </si>
  <si>
    <t>CORNER</t>
  </si>
  <si>
    <t>SLOPE</t>
  </si>
  <si>
    <t>0.5*dia+d</t>
  </si>
  <si>
    <t>x</t>
  </si>
  <si>
    <t>y</t>
  </si>
  <si>
    <t>constant</t>
  </si>
  <si>
    <t>Corner pile</t>
  </si>
  <si>
    <t>τc  (N/mm2)</t>
  </si>
  <si>
    <t>Nominal shear stress τV (N/mm2)</t>
  </si>
  <si>
    <t>B(WIDTH FOR CRITICAL SECTION)</t>
  </si>
  <si>
    <t>COLUMN:</t>
  </si>
  <si>
    <t>PILE:</t>
  </si>
  <si>
    <r>
      <t>(fck cylinder), (N/mm</t>
    </r>
    <r>
      <rPr>
        <b/>
        <vertAlign val="superscript"/>
        <sz val="10"/>
        <color theme="1"/>
        <rFont val="Calibri"/>
        <family val="2"/>
        <scheme val="minor"/>
      </rPr>
      <t>2</t>
    </r>
    <r>
      <rPr>
        <b/>
        <sz val="10"/>
        <color theme="1"/>
        <rFont val="Calibri"/>
        <family val="2"/>
        <scheme val="minor"/>
      </rPr>
      <t xml:space="preserve">) </t>
    </r>
  </si>
  <si>
    <r>
      <t>(fck cube), (N/mm</t>
    </r>
    <r>
      <rPr>
        <b/>
        <vertAlign val="superscript"/>
        <sz val="10"/>
        <color theme="1"/>
        <rFont val="Calibri"/>
        <family val="2"/>
        <scheme val="minor"/>
      </rPr>
      <t>2</t>
    </r>
    <r>
      <rPr>
        <b/>
        <sz val="10"/>
        <color theme="1"/>
        <rFont val="Calibri"/>
        <family val="2"/>
        <scheme val="minor"/>
      </rPr>
      <t xml:space="preserve">) </t>
    </r>
  </si>
  <si>
    <t>z</t>
  </si>
  <si>
    <t>k</t>
  </si>
  <si>
    <t>Vrd,c</t>
  </si>
  <si>
    <t>Vrd max</t>
  </si>
  <si>
    <t>N</t>
  </si>
  <si>
    <t>MOMENT about y</t>
  </si>
  <si>
    <t>MOMENT about x</t>
  </si>
  <si>
    <t>d CALCULATION</t>
  </si>
  <si>
    <t>LENGTH(m)</t>
  </si>
  <si>
    <t>BREDTH(m)</t>
  </si>
  <si>
    <t>DEPTH(mm)</t>
  </si>
  <si>
    <t>IS 456-design</t>
  </si>
  <si>
    <t>IRC 112-Design</t>
  </si>
  <si>
    <t>Annexure - C PILE FOUNDATION</t>
  </si>
  <si>
    <t>kN</t>
  </si>
  <si>
    <t>kN-m</t>
  </si>
  <si>
    <t>kN m</t>
  </si>
  <si>
    <t>FORCE(kN)</t>
  </si>
  <si>
    <t>VERTICAL(kN)</t>
  </si>
  <si>
    <t>HORIZONTAL(kN)</t>
  </si>
  <si>
    <r>
      <t>Steel required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</si>
  <si>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Area of one bar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</si>
  <si>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(Number of bars)</t>
    </r>
    <r>
      <rPr>
        <vertAlign val="subscript"/>
        <sz val="12"/>
        <color theme="1"/>
        <rFont val="Times New Roman"/>
        <family val="1"/>
      </rPr>
      <t>req</t>
    </r>
  </si>
  <si>
    <r>
      <t>Steel provided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</si>
  <si>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τ</t>
    </r>
    <r>
      <rPr>
        <vertAlign val="subscript"/>
        <sz val="12"/>
        <color theme="1"/>
        <rFont val="Times New Roman"/>
        <family val="1"/>
      </rPr>
      <t xml:space="preserve">c  </t>
    </r>
    <r>
      <rPr>
        <sz val="12"/>
        <color theme="1"/>
        <rFont val="Times New Roman"/>
        <family val="1"/>
      </rPr>
      <t>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</si>
  <si>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Nominal shear stress τ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(N/mm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</si>
  <si>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Area of critical section (mm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)</t>
    </r>
  </si>
  <si>
    <r>
      <t>k</t>
    </r>
    <r>
      <rPr>
        <vertAlign val="subscript"/>
        <sz val="12"/>
        <color theme="1"/>
        <rFont val="Times New Roman"/>
        <family val="1"/>
      </rPr>
      <t>s</t>
    </r>
  </si>
  <si>
    <r>
      <t>τ</t>
    </r>
    <r>
      <rPr>
        <vertAlign val="subscript"/>
        <sz val="12"/>
        <color theme="1"/>
        <rFont val="Times New Roman"/>
        <family val="1"/>
      </rPr>
      <t>c</t>
    </r>
  </si>
  <si>
    <t>Coloumn:</t>
  </si>
  <si>
    <t>Pile:</t>
  </si>
  <si>
    <t>K</t>
  </si>
  <si>
    <t>&lt;0.133 for singly reinforcement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</si>
</sst>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vertAlign val="subscript"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1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vertAlign val="subscript"/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0" fillId="3" borderId="0" xfId="0" applyFill="1"/>
    <xf numFmtId="0" fontId="0" fillId="4" borderId="0" xfId="0" applyFill="1"/>
    <xf numFmtId="0" fontId="0" fillId="2" borderId="1" xfId="0" applyFill="1" applyBorder="1"/>
    <xf numFmtId="0" fontId="0" fillId="0" borderId="0" xfId="0" applyAlignme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/>
    </xf>
    <xf numFmtId="0" fontId="0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center" vertical="center" textRotation="90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 vertical="top" textRotation="90"/>
    </xf>
    <xf numFmtId="0" fontId="0" fillId="0" borderId="0" xfId="0" applyFont="1" applyAlignment="1">
      <alignment textRotation="180"/>
    </xf>
    <xf numFmtId="0" fontId="1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7" fillId="0" borderId="0" xfId="0" applyFont="1"/>
    <xf numFmtId="0" fontId="0" fillId="6" borderId="0" xfId="0" applyFont="1" applyFill="1"/>
    <xf numFmtId="0" fontId="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/>
    <xf numFmtId="0" fontId="0" fillId="3" borderId="1" xfId="0" applyFill="1" applyBorder="1"/>
    <xf numFmtId="0" fontId="0" fillId="6" borderId="1" xfId="0" applyFill="1" applyBorder="1"/>
    <xf numFmtId="0" fontId="9" fillId="0" borderId="0" xfId="0" applyFont="1" applyAlignment="1">
      <alignment horizontal="center"/>
    </xf>
    <xf numFmtId="0" fontId="3" fillId="6" borderId="0" xfId="0" applyFont="1" applyFill="1"/>
    <xf numFmtId="0" fontId="3" fillId="2" borderId="0" xfId="0" applyFont="1" applyFill="1"/>
    <xf numFmtId="0" fontId="21" fillId="0" borderId="0" xfId="0" applyFont="1"/>
    <xf numFmtId="0" fontId="3" fillId="3" borderId="0" xfId="0" applyFont="1" applyFill="1"/>
    <xf numFmtId="0" fontId="9" fillId="6" borderId="0" xfId="0" applyFont="1" applyFill="1"/>
    <xf numFmtId="0" fontId="9" fillId="2" borderId="0" xfId="0" applyFont="1" applyFill="1"/>
    <xf numFmtId="0" fontId="10" fillId="0" borderId="0" xfId="0" applyFont="1"/>
    <xf numFmtId="0" fontId="9" fillId="3" borderId="0" xfId="0" applyFont="1" applyFill="1"/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5" borderId="0" xfId="0" applyFill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6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9" fillId="6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379550382289165E-2"/>
          <c:y val="2.707342329474887E-2"/>
          <c:w val="0.63140229753889454"/>
          <c:h val="0.88580135566972806"/>
        </c:manualLayout>
      </c:layout>
      <c:scatterChart>
        <c:scatterStyle val="lineMarker"/>
        <c:varyColors val="0"/>
        <c:ser>
          <c:idx val="0"/>
          <c:order val="0"/>
          <c:tx>
            <c:v>PILES</c:v>
          </c:tx>
          <c:spPr>
            <a:ln w="19050" cap="rnd">
              <a:noFill/>
              <a:round/>
            </a:ln>
            <a:effectLst>
              <a:outerShdw blurRad="50800" dist="50800" dir="5400000" sx="1000" sy="1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63500">
                <a:solidFill>
                  <a:schemeClr val="accent1"/>
                </a:solidFill>
              </a:ln>
              <a:effectLst>
                <a:outerShdw blurRad="50800" dist="50800" dir="5400000" sx="1000" sy="1000" algn="ctr" rotWithShape="0">
                  <a:srgbClr val="000000">
                    <a:alpha val="43137"/>
                  </a:srgbClr>
                </a:outerShdw>
              </a:effectLst>
            </c:spPr>
          </c:marker>
          <c:xVal>
            <c:numRef>
              <c:f>REACTIONS!$J$10:$J$34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</c:numCache>
            </c:numRef>
          </c:xVal>
          <c:yVal>
            <c:numRef>
              <c:f>REACTIONS!$K$10:$K$34</c:f>
              <c:numCache>
                <c:formatCode>General</c:formatCode>
                <c:ptCount val="2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D8C-44C1-9C1B-4F76A631A9DE}"/>
            </c:ext>
          </c:extLst>
        </c:ser>
        <c:ser>
          <c:idx val="1"/>
          <c:order val="1"/>
          <c:tx>
            <c:v>COLUM PIER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82550">
                <a:solidFill>
                  <a:schemeClr val="accent2"/>
                </a:solidFill>
              </a:ln>
              <a:effectLst/>
            </c:spPr>
          </c:marker>
          <c:xVal>
            <c:numRef>
              <c:f>REACTIONS!$C$141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REACTIONS!$D$141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D8C-44C1-9C1B-4F76A631A9DE}"/>
            </c:ext>
          </c:extLst>
        </c:ser>
        <c:ser>
          <c:idx val="2"/>
          <c:order val="2"/>
          <c:tx>
            <c:v>"MOMENT-X"</c:v>
          </c:tx>
          <c:spPr>
            <a:ln w="2540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REACTIONS!$B$175:$B$176</c:f>
              <c:numCache>
                <c:formatCode>General</c:formatCode>
                <c:ptCount val="2"/>
                <c:pt idx="0">
                  <c:v>2.25</c:v>
                </c:pt>
                <c:pt idx="1">
                  <c:v>2.25</c:v>
                </c:pt>
              </c:numCache>
            </c:numRef>
          </c:xVal>
          <c:yVal>
            <c:numRef>
              <c:f>REACTIONS!$C$175:$C$176</c:f>
              <c:numCache>
                <c:formatCode>General</c:formatCode>
                <c:ptCount val="2"/>
                <c:pt idx="0">
                  <c:v>0</c:v>
                </c:pt>
                <c:pt idx="1">
                  <c:v>4.5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D8C-44C1-9C1B-4F76A631A9DE}"/>
            </c:ext>
          </c:extLst>
        </c:ser>
        <c:ser>
          <c:idx val="3"/>
          <c:order val="3"/>
          <c:tx>
            <c:v>"MOMENT-Y"</c:v>
          </c:tx>
          <c:spPr>
            <a:ln w="25400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REACTIONS!$B$177:$B$178</c:f>
              <c:numCache>
                <c:formatCode>General</c:formatCode>
                <c:ptCount val="2"/>
                <c:pt idx="0">
                  <c:v>0</c:v>
                </c:pt>
                <c:pt idx="1">
                  <c:v>4.5</c:v>
                </c:pt>
              </c:numCache>
            </c:numRef>
          </c:xVal>
          <c:yVal>
            <c:numRef>
              <c:f>REACTIONS!$C$177:$C$178</c:f>
              <c:numCache>
                <c:formatCode>General</c:formatCode>
                <c:ptCount val="2"/>
                <c:pt idx="0">
                  <c:v>2.25</c:v>
                </c:pt>
                <c:pt idx="1">
                  <c:v>2.25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D8C-44C1-9C1B-4F76A631A9DE}"/>
            </c:ext>
          </c:extLst>
        </c:ser>
        <c:ser>
          <c:idx val="4"/>
          <c:order val="4"/>
          <c:tx>
            <c:v>"one way"</c:v>
          </c:tx>
          <c:spPr>
            <a:ln w="25400" cap="rnd">
              <a:gradFill>
                <a:gsLst>
                  <a:gs pos="100000">
                    <a:schemeClr val="tx2"/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REACTIONS!$B$179:$B$180</c:f>
              <c:numCache>
                <c:formatCode>General</c:formatCode>
                <c:ptCount val="2"/>
                <c:pt idx="0">
                  <c:v>3.8</c:v>
                </c:pt>
                <c:pt idx="1">
                  <c:v>3.8</c:v>
                </c:pt>
              </c:numCache>
            </c:numRef>
          </c:xVal>
          <c:yVal>
            <c:numRef>
              <c:f>REACTIONS!$C$179:$C$180</c:f>
              <c:numCache>
                <c:formatCode>General</c:formatCode>
                <c:ptCount val="2"/>
                <c:pt idx="0">
                  <c:v>0</c:v>
                </c:pt>
                <c:pt idx="1">
                  <c:v>4.5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B1-4C53-9F8F-770F1003F827}"/>
            </c:ext>
          </c:extLst>
        </c:ser>
        <c:ser>
          <c:idx val="5"/>
          <c:order val="5"/>
          <c:tx>
            <c:v>"two way"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REACTIONS!$B$181:$B$185</c:f>
              <c:numCache>
                <c:formatCode>General</c:formatCode>
                <c:ptCount val="5"/>
                <c:pt idx="0">
                  <c:v>0.97499999999999998</c:v>
                </c:pt>
                <c:pt idx="1">
                  <c:v>0.97499999999999998</c:v>
                </c:pt>
                <c:pt idx="2">
                  <c:v>3.0249999999999999</c:v>
                </c:pt>
                <c:pt idx="3">
                  <c:v>3.0249999999999999</c:v>
                </c:pt>
                <c:pt idx="4">
                  <c:v>0.97499999999999998</c:v>
                </c:pt>
              </c:numCache>
            </c:numRef>
          </c:xVal>
          <c:yVal>
            <c:numRef>
              <c:f>REACTIONS!$C$181:$C$185</c:f>
              <c:numCache>
                <c:formatCode>General</c:formatCode>
                <c:ptCount val="5"/>
                <c:pt idx="0">
                  <c:v>0.97499999999999998</c:v>
                </c:pt>
                <c:pt idx="1">
                  <c:v>3.0249999999999999</c:v>
                </c:pt>
                <c:pt idx="2">
                  <c:v>3.0249999999999999</c:v>
                </c:pt>
                <c:pt idx="3">
                  <c:v>0.97499999999999998</c:v>
                </c:pt>
                <c:pt idx="4">
                  <c:v>0.97499999999999998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B1-4C53-9F8F-770F1003F827}"/>
            </c:ext>
          </c:extLst>
        </c:ser>
        <c:ser>
          <c:idx val="6"/>
          <c:order val="6"/>
          <c:tx>
            <c:v>"one way in y"</c:v>
          </c:tx>
          <c:spPr>
            <a:ln w="25400" cap="rnd">
              <a:solidFill>
                <a:schemeClr val="accent1">
                  <a:lumMod val="40000"/>
                  <a:lumOff val="60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alpha val="41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REACTIONS!$D$179:$D$180</c:f>
              <c:numCache>
                <c:formatCode>General</c:formatCode>
                <c:ptCount val="2"/>
                <c:pt idx="0">
                  <c:v>0</c:v>
                </c:pt>
                <c:pt idx="1">
                  <c:v>4.5</c:v>
                </c:pt>
              </c:numCache>
            </c:numRef>
          </c:xVal>
          <c:yVal>
            <c:numRef>
              <c:f>REACTIONS!$E$179:$E$180</c:f>
              <c:numCache>
                <c:formatCode>General</c:formatCode>
                <c:ptCount val="2"/>
                <c:pt idx="0">
                  <c:v>3.8</c:v>
                </c:pt>
                <c:pt idx="1">
                  <c:v>3.8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C7-490D-B172-9B21F8405CAA}"/>
            </c:ext>
          </c:extLst>
        </c:ser>
        <c:ser>
          <c:idx val="7"/>
          <c:order val="7"/>
          <c:tx>
            <c:v>"corner pile check"</c:v>
          </c:tx>
          <c:spPr>
            <a:ln w="254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REACTIONS!$G$183:$G$185</c:f>
              <c:numCache>
                <c:formatCode>General</c:formatCode>
                <c:ptCount val="3"/>
                <c:pt idx="0">
                  <c:v>1.3342082801646737</c:v>
                </c:pt>
                <c:pt idx="1">
                  <c:v>2.6681655609947579</c:v>
                </c:pt>
                <c:pt idx="2">
                  <c:v>4</c:v>
                </c:pt>
              </c:numCache>
            </c:numRef>
          </c:xVal>
          <c:yVal>
            <c:numRef>
              <c:f>REACTIONS!$H$183:$H$185</c:f>
              <c:numCache>
                <c:formatCode>General</c:formatCode>
                <c:ptCount val="3"/>
                <c:pt idx="0">
                  <c:v>4</c:v>
                </c:pt>
                <c:pt idx="1">
                  <c:v>2.6660427191699156</c:v>
                </c:pt>
                <c:pt idx="2">
                  <c:v>1.3342082801646731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2A4-40DC-9FEF-3F9559AF8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637344"/>
        <c:axId val="77641152"/>
      </c:scatterChart>
      <c:valAx>
        <c:axId val="7763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41152"/>
        <c:crosses val="autoZero"/>
        <c:crossBetween val="midCat"/>
      </c:valAx>
      <c:valAx>
        <c:axId val="776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37344"/>
        <c:crosses val="autoZero"/>
        <c:crossBetween val="midCat"/>
      </c:valAx>
      <c:spPr>
        <a:noFill/>
        <a:ln>
          <a:noFill/>
        </a:ln>
        <a:effectLst>
          <a:outerShdw blurRad="50800" dist="50800" dir="2400000" algn="ctr" rotWithShape="0">
            <a:srgbClr val="000000">
              <a:alpha val="43137"/>
            </a:srgbClr>
          </a:outerShdw>
        </a:effectLst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352424</xdr:colOff>
      <xdr:row>44</xdr:row>
      <xdr:rowOff>66675</xdr:rowOff>
    </xdr:from>
    <xdr:to>
      <xdr:col>7</xdr:col>
      <xdr:colOff>476249</xdr:colOff>
      <xdr:row>58</xdr:row>
      <xdr:rowOff>52386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2E0D976A-E24D-4DBC-910E-1BB3A2F4FE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180975</xdr:colOff>
      <xdr:row>44</xdr:row>
      <xdr:rowOff>133350</xdr:rowOff>
    </xdr:from>
    <xdr:to>
      <xdr:col>6</xdr:col>
      <xdr:colOff>226694</xdr:colOff>
      <xdr:row>44</xdr:row>
      <xdr:rowOff>179069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26742E06-4751-4562-B35E-74077634297F}"/>
            </a:ext>
          </a:extLst>
        </xdr:cNvPr>
        <xdr:cNvSpPr txBox="1"/>
      </xdr:nvSpPr>
      <xdr:spPr>
        <a:xfrm>
          <a:off x="4505325" y="9058275"/>
          <a:ext cx="4571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1</a:t>
          </a:r>
        </a:p>
      </xdr:txBody>
    </xdr:sp>
    <xdr:clientData/>
  </xdr:twoCellAnchor>
  <xdr:twoCellAnchor>
    <xdr:from>
      <xdr:col>6</xdr:col>
      <xdr:colOff>200025</xdr:colOff>
      <xdr:row>42</xdr:row>
      <xdr:rowOff>173355</xdr:rowOff>
    </xdr:from>
    <xdr:to>
      <xdr:col>6</xdr:col>
      <xdr:colOff>245744</xdr:colOff>
      <xdr:row>43</xdr:row>
      <xdr:rowOff>28574</xdr:rowOff>
    </xdr:to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8406033C-E49B-4420-B2DE-73A32626102D}"/>
            </a:ext>
          </a:extLst>
        </xdr:cNvPr>
        <xdr:cNvSpPr txBox="1"/>
      </xdr:nvSpPr>
      <xdr:spPr>
        <a:xfrm flipV="1">
          <a:off x="4524375" y="8717280"/>
          <a:ext cx="4571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L\Downloads\Isolated%20footing%20no%20eccentricit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"/>
      <sheetName val="References"/>
      <sheetName val="Sheet3"/>
    </sheetNames>
    <sheetDataSet>
      <sheetData sheetId="0" refreshError="1">
        <row r="7">
          <cell r="B7">
            <v>20</v>
          </cell>
        </row>
        <row r="18">
          <cell r="E18">
            <v>0.12221581011589899</v>
          </cell>
        </row>
        <row r="23">
          <cell r="E23">
            <v>5.9532354980810782E-2</v>
          </cell>
        </row>
      </sheetData>
      <sheetData sheetId="1" refreshError="1">
        <row r="3">
          <cell r="D3">
            <v>15</v>
          </cell>
          <cell r="E3">
            <v>20</v>
          </cell>
          <cell r="F3">
            <v>25</v>
          </cell>
          <cell r="G3">
            <v>30</v>
          </cell>
          <cell r="H3">
            <v>35</v>
          </cell>
          <cell r="I3">
            <v>40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85"/>
  <sheetViews>
    <sheetView view="pageBreakPreview" zoomScale="55" zoomScaleNormal="100" zoomScaleSheetLayoutView="55" workbookViewId="0">
      <selection activeCell="F108" sqref="F108"/>
    </sheetView>
  </sheetViews>
  <sheetFormatPr defaultRowHeight="15" x14ac:dyDescent="0.25"/>
  <cols>
    <col min="1" max="1" width="14.85546875" customWidth="1"/>
    <col min="2" max="2" width="10.7109375" customWidth="1"/>
    <col min="4" max="4" width="10.28515625" customWidth="1"/>
    <col min="5" max="5" width="9.7109375" customWidth="1"/>
    <col min="6" max="6" width="11.7109375" customWidth="1"/>
    <col min="7" max="7" width="10.5703125" customWidth="1"/>
    <col min="10" max="10" width="10" customWidth="1"/>
    <col min="15" max="15" width="12.42578125" customWidth="1"/>
    <col min="19" max="20" width="0" hidden="1" customWidth="1"/>
  </cols>
  <sheetData>
    <row r="1" spans="1:16" ht="18.75" x14ac:dyDescent="0.3">
      <c r="A1" s="2" t="s">
        <v>127</v>
      </c>
    </row>
    <row r="2" spans="1:16" ht="18.75" x14ac:dyDescent="0.3">
      <c r="A2" s="45" t="s">
        <v>0</v>
      </c>
      <c r="B2" s="44"/>
      <c r="C2" s="44"/>
    </row>
    <row r="3" spans="1:16" x14ac:dyDescent="0.25">
      <c r="A3" s="46" t="s">
        <v>83</v>
      </c>
      <c r="B3" s="46"/>
      <c r="C3" s="46"/>
    </row>
    <row r="4" spans="1:16" x14ac:dyDescent="0.25">
      <c r="A4" s="3"/>
    </row>
    <row r="5" spans="1:16" x14ac:dyDescent="0.25">
      <c r="A5" t="s">
        <v>1</v>
      </c>
      <c r="B5" t="s">
        <v>2</v>
      </c>
      <c r="C5" s="7">
        <v>0.5</v>
      </c>
      <c r="D5" t="s">
        <v>3</v>
      </c>
    </row>
    <row r="6" spans="1:16" x14ac:dyDescent="0.25">
      <c r="A6" t="s">
        <v>4</v>
      </c>
      <c r="B6" t="s">
        <v>2</v>
      </c>
      <c r="C6" s="7">
        <v>0.5</v>
      </c>
      <c r="D6" t="s">
        <v>3</v>
      </c>
    </row>
    <row r="7" spans="1:16" x14ac:dyDescent="0.25">
      <c r="A7" t="s">
        <v>82</v>
      </c>
      <c r="B7" s="3" t="s">
        <v>2</v>
      </c>
      <c r="C7">
        <v>20</v>
      </c>
      <c r="D7" s="3" t="s">
        <v>31</v>
      </c>
      <c r="I7" s="8" t="s">
        <v>33</v>
      </c>
      <c r="J7" s="8"/>
      <c r="K7" s="8"/>
      <c r="L7" s="8"/>
      <c r="M7" s="8" t="s">
        <v>45</v>
      </c>
      <c r="N7" s="8"/>
    </row>
    <row r="8" spans="1:16" x14ac:dyDescent="0.25">
      <c r="A8" s="46" t="s">
        <v>5</v>
      </c>
      <c r="B8" s="44"/>
      <c r="C8" s="44"/>
      <c r="I8" s="8"/>
      <c r="J8" s="48" t="s">
        <v>59</v>
      </c>
      <c r="K8" s="48"/>
      <c r="L8" s="48"/>
      <c r="M8" s="8"/>
      <c r="N8" s="8"/>
    </row>
    <row r="9" spans="1:16" x14ac:dyDescent="0.25">
      <c r="I9" t="s">
        <v>34</v>
      </c>
      <c r="J9" s="30" t="s">
        <v>36</v>
      </c>
      <c r="K9" s="30" t="s">
        <v>37</v>
      </c>
      <c r="M9" t="s">
        <v>132</v>
      </c>
      <c r="O9" t="s">
        <v>133</v>
      </c>
    </row>
    <row r="10" spans="1:16" x14ac:dyDescent="0.25">
      <c r="A10" t="s">
        <v>6</v>
      </c>
      <c r="C10" t="s">
        <v>7</v>
      </c>
      <c r="D10" t="s">
        <v>2</v>
      </c>
      <c r="E10" s="7">
        <v>500</v>
      </c>
      <c r="F10" t="s">
        <v>8</v>
      </c>
      <c r="I10" s="6">
        <v>1</v>
      </c>
      <c r="J10" s="7">
        <v>0</v>
      </c>
      <c r="K10" s="7">
        <v>0</v>
      </c>
      <c r="L10" s="11">
        <f t="shared" ref="L10:L34" si="0">$I10</f>
        <v>1</v>
      </c>
      <c r="M10" s="32">
        <f t="shared" ref="M10:M34" si="1">IF($J10="","",$C$20/$D$36+($C$22*$B145/$D$170)+($C$21*$C145/$E$170))</f>
        <v>541.66666666666674</v>
      </c>
      <c r="N10" t="str">
        <f t="shared" ref="N10:N34" si="2">IF($M10="","",IF($M10&lt;$D$31&amp;$M10&gt;$D$32,"OK","NOT OK"))</f>
        <v>OK</v>
      </c>
      <c r="O10" s="32">
        <f>IF($M10="","",SQRT($C$18^2+$C$19^2)/$D$36)</f>
        <v>0</v>
      </c>
      <c r="P10" t="str">
        <f>IF($O10="","",IF($O10&lt;$D$33,"OK","NOT OK"))</f>
        <v>OK</v>
      </c>
    </row>
    <row r="11" spans="1:16" x14ac:dyDescent="0.25">
      <c r="I11" s="6">
        <f t="shared" ref="I11:I34" si="3">IF($I10&lt;$D$36,$I10+1,"")</f>
        <v>2</v>
      </c>
      <c r="J11" s="7">
        <v>0</v>
      </c>
      <c r="K11" s="7">
        <v>2</v>
      </c>
      <c r="L11" s="11">
        <f t="shared" si="0"/>
        <v>2</v>
      </c>
      <c r="M11" s="32">
        <f t="shared" si="1"/>
        <v>583.33333333333337</v>
      </c>
      <c r="N11" t="str">
        <f t="shared" si="2"/>
        <v>OK</v>
      </c>
      <c r="O11" s="32">
        <f t="shared" ref="O11:O34" si="4">IF($M11="","",SQRT($C$18^2+$C$19^2)/$D$36)</f>
        <v>0</v>
      </c>
      <c r="P11" t="str">
        <f t="shared" ref="P11:P34" si="5">IF($O11="","",IF($O11&lt;$D$33,"OK","NOT OK"))</f>
        <v>OK</v>
      </c>
    </row>
    <row r="12" spans="1:16" ht="18" x14ac:dyDescent="0.35">
      <c r="A12" t="s">
        <v>9</v>
      </c>
      <c r="C12" t="s">
        <v>10</v>
      </c>
      <c r="D12" t="s">
        <v>2</v>
      </c>
      <c r="E12" s="7">
        <v>30</v>
      </c>
      <c r="F12" t="s">
        <v>8</v>
      </c>
      <c r="I12" s="6">
        <f t="shared" si="3"/>
        <v>3</v>
      </c>
      <c r="J12" s="7">
        <v>0</v>
      </c>
      <c r="K12" s="7">
        <v>4</v>
      </c>
      <c r="L12" s="11">
        <f t="shared" si="0"/>
        <v>3</v>
      </c>
      <c r="M12" s="32">
        <f t="shared" si="1"/>
        <v>625</v>
      </c>
      <c r="N12" t="str">
        <f t="shared" si="2"/>
        <v>OK</v>
      </c>
      <c r="O12" s="32">
        <f t="shared" si="4"/>
        <v>0</v>
      </c>
      <c r="P12" t="str">
        <f t="shared" si="5"/>
        <v>OK</v>
      </c>
    </row>
    <row r="13" spans="1:16" x14ac:dyDescent="0.25">
      <c r="I13" s="6">
        <f t="shared" si="3"/>
        <v>4</v>
      </c>
      <c r="J13" s="7">
        <v>2</v>
      </c>
      <c r="K13" s="7">
        <v>0</v>
      </c>
      <c r="L13" s="11">
        <f t="shared" si="0"/>
        <v>4</v>
      </c>
      <c r="M13" s="32">
        <f t="shared" si="1"/>
        <v>583.33333333333337</v>
      </c>
      <c r="N13" t="str">
        <f t="shared" si="2"/>
        <v>OK</v>
      </c>
      <c r="O13" s="32">
        <f t="shared" si="4"/>
        <v>0</v>
      </c>
      <c r="P13" t="str">
        <f t="shared" si="5"/>
        <v>OK</v>
      </c>
    </row>
    <row r="14" spans="1:16" ht="18" x14ac:dyDescent="0.35">
      <c r="A14" t="s">
        <v>11</v>
      </c>
      <c r="B14" t="s">
        <v>2</v>
      </c>
      <c r="C14" s="7">
        <v>200000</v>
      </c>
      <c r="D14" t="s">
        <v>8</v>
      </c>
      <c r="I14" s="6">
        <f t="shared" si="3"/>
        <v>5</v>
      </c>
      <c r="J14" s="7">
        <v>2</v>
      </c>
      <c r="K14" s="7">
        <v>4</v>
      </c>
      <c r="L14" s="11">
        <f t="shared" si="0"/>
        <v>5</v>
      </c>
      <c r="M14" s="32">
        <f t="shared" si="1"/>
        <v>666.66666666666663</v>
      </c>
      <c r="N14" t="str">
        <f t="shared" si="2"/>
        <v>OK</v>
      </c>
      <c r="O14" s="32">
        <f t="shared" si="4"/>
        <v>0</v>
      </c>
      <c r="P14" t="str">
        <f t="shared" si="5"/>
        <v>OK</v>
      </c>
    </row>
    <row r="15" spans="1:16" ht="18" x14ac:dyDescent="0.35">
      <c r="A15" t="s">
        <v>12</v>
      </c>
      <c r="B15" t="s">
        <v>2</v>
      </c>
      <c r="C15">
        <f>5000*SQRT(E12)</f>
        <v>27386.127875258306</v>
      </c>
      <c r="D15" t="s">
        <v>8</v>
      </c>
      <c r="I15" s="6">
        <f t="shared" si="3"/>
        <v>6</v>
      </c>
      <c r="J15" s="7">
        <v>4</v>
      </c>
      <c r="K15" s="7">
        <v>0</v>
      </c>
      <c r="L15" s="11">
        <f t="shared" si="0"/>
        <v>6</v>
      </c>
      <c r="M15" s="32">
        <f t="shared" si="1"/>
        <v>625</v>
      </c>
      <c r="N15" t="str">
        <f t="shared" si="2"/>
        <v>OK</v>
      </c>
      <c r="O15" s="32">
        <f t="shared" si="4"/>
        <v>0</v>
      </c>
      <c r="P15" t="str">
        <f t="shared" si="5"/>
        <v>OK</v>
      </c>
    </row>
    <row r="16" spans="1:16" x14ac:dyDescent="0.25">
      <c r="I16" s="6">
        <f t="shared" si="3"/>
        <v>7</v>
      </c>
      <c r="J16" s="7">
        <v>4</v>
      </c>
      <c r="K16" s="7">
        <v>2</v>
      </c>
      <c r="L16" s="11">
        <f t="shared" si="0"/>
        <v>7</v>
      </c>
      <c r="M16" s="32">
        <f t="shared" si="1"/>
        <v>666.66666666666663</v>
      </c>
      <c r="N16" t="str">
        <f t="shared" si="2"/>
        <v>OK</v>
      </c>
      <c r="O16" s="32">
        <f t="shared" si="4"/>
        <v>0</v>
      </c>
      <c r="P16" t="str">
        <f t="shared" si="5"/>
        <v>OK</v>
      </c>
    </row>
    <row r="17" spans="1:20" ht="18.75" x14ac:dyDescent="0.3">
      <c r="A17" s="45" t="s">
        <v>13</v>
      </c>
      <c r="B17" s="45"/>
      <c r="C17" s="45"/>
      <c r="I17" s="6">
        <f t="shared" si="3"/>
        <v>8</v>
      </c>
      <c r="J17" s="7">
        <v>4</v>
      </c>
      <c r="K17" s="7">
        <v>4</v>
      </c>
      <c r="L17" s="11">
        <f t="shared" si="0"/>
        <v>8</v>
      </c>
      <c r="M17" s="32">
        <f t="shared" si="1"/>
        <v>708.33333333333326</v>
      </c>
      <c r="N17" t="str">
        <f t="shared" si="2"/>
        <v>OK</v>
      </c>
      <c r="O17" s="32">
        <f t="shared" si="4"/>
        <v>0</v>
      </c>
      <c r="P17" t="str">
        <f t="shared" si="5"/>
        <v>OK</v>
      </c>
    </row>
    <row r="18" spans="1:20" ht="18" x14ac:dyDescent="0.35">
      <c r="A18" t="s">
        <v>14</v>
      </c>
      <c r="B18" t="s">
        <v>2</v>
      </c>
      <c r="C18" s="7">
        <v>0</v>
      </c>
      <c r="D18" t="s">
        <v>128</v>
      </c>
      <c r="I18" s="6" t="str">
        <f t="shared" si="3"/>
        <v/>
      </c>
      <c r="J18" s="7"/>
      <c r="K18" s="7"/>
      <c r="L18" s="11" t="str">
        <f t="shared" si="0"/>
        <v/>
      </c>
      <c r="M18" s="32" t="str">
        <f t="shared" si="1"/>
        <v/>
      </c>
      <c r="N18" t="str">
        <f t="shared" si="2"/>
        <v/>
      </c>
      <c r="O18" s="32" t="str">
        <f t="shared" si="4"/>
        <v/>
      </c>
      <c r="P18" t="str">
        <f t="shared" si="5"/>
        <v/>
      </c>
    </row>
    <row r="19" spans="1:20" ht="18" x14ac:dyDescent="0.35">
      <c r="A19" t="s">
        <v>15</v>
      </c>
      <c r="B19" t="s">
        <v>2</v>
      </c>
      <c r="C19" s="7">
        <v>0</v>
      </c>
      <c r="D19" t="s">
        <v>128</v>
      </c>
      <c r="I19" s="6" t="str">
        <f t="shared" si="3"/>
        <v/>
      </c>
      <c r="J19" s="7"/>
      <c r="K19" s="7"/>
      <c r="L19" s="11" t="str">
        <f t="shared" si="0"/>
        <v/>
      </c>
      <c r="M19" s="32" t="str">
        <f t="shared" si="1"/>
        <v/>
      </c>
      <c r="N19" t="str">
        <f t="shared" si="2"/>
        <v/>
      </c>
      <c r="O19" s="32" t="str">
        <f t="shared" si="4"/>
        <v/>
      </c>
      <c r="P19" t="str">
        <f t="shared" si="5"/>
        <v/>
      </c>
    </row>
    <row r="20" spans="1:20" ht="18" x14ac:dyDescent="0.35">
      <c r="A20" t="s">
        <v>16</v>
      </c>
      <c r="B20" t="s">
        <v>2</v>
      </c>
      <c r="C20" s="7">
        <v>5000</v>
      </c>
      <c r="D20" t="s">
        <v>128</v>
      </c>
      <c r="I20" s="6" t="str">
        <f t="shared" si="3"/>
        <v/>
      </c>
      <c r="J20" s="7"/>
      <c r="K20" s="7"/>
      <c r="L20" s="11" t="str">
        <f t="shared" si="0"/>
        <v/>
      </c>
      <c r="M20" s="32" t="str">
        <f t="shared" si="1"/>
        <v/>
      </c>
      <c r="N20" t="str">
        <f t="shared" si="2"/>
        <v/>
      </c>
      <c r="O20" s="32" t="str">
        <f t="shared" si="4"/>
        <v/>
      </c>
      <c r="P20" t="str">
        <f t="shared" si="5"/>
        <v/>
      </c>
    </row>
    <row r="21" spans="1:20" ht="18" x14ac:dyDescent="0.35">
      <c r="A21" t="s">
        <v>17</v>
      </c>
      <c r="B21" t="s">
        <v>2</v>
      </c>
      <c r="C21" s="7">
        <v>500</v>
      </c>
      <c r="D21" t="s">
        <v>129</v>
      </c>
      <c r="E21" s="1" t="s">
        <v>18</v>
      </c>
      <c r="F21" s="1" t="s">
        <v>2</v>
      </c>
      <c r="G21" s="32">
        <f>C21/C20</f>
        <v>0.1</v>
      </c>
      <c r="H21" t="s">
        <v>3</v>
      </c>
      <c r="I21" s="6" t="str">
        <f t="shared" si="3"/>
        <v/>
      </c>
      <c r="J21" s="7"/>
      <c r="K21" s="7"/>
      <c r="L21" s="11" t="str">
        <f t="shared" si="0"/>
        <v/>
      </c>
      <c r="M21" s="32" t="str">
        <f t="shared" si="1"/>
        <v/>
      </c>
      <c r="N21" t="str">
        <f t="shared" si="2"/>
        <v/>
      </c>
      <c r="O21" s="32" t="str">
        <f t="shared" si="4"/>
        <v/>
      </c>
      <c r="P21" t="str">
        <f t="shared" si="5"/>
        <v/>
      </c>
    </row>
    <row r="22" spans="1:20" ht="18" x14ac:dyDescent="0.35">
      <c r="A22" t="s">
        <v>19</v>
      </c>
      <c r="B22" t="s">
        <v>2</v>
      </c>
      <c r="C22" s="7">
        <v>500</v>
      </c>
      <c r="D22" t="s">
        <v>129</v>
      </c>
      <c r="E22" s="1" t="s">
        <v>20</v>
      </c>
      <c r="F22" s="1" t="s">
        <v>2</v>
      </c>
      <c r="G22" s="32">
        <f>C22/C20</f>
        <v>0.1</v>
      </c>
      <c r="H22" t="s">
        <v>3</v>
      </c>
      <c r="I22" s="6" t="str">
        <f t="shared" si="3"/>
        <v/>
      </c>
      <c r="J22" s="7"/>
      <c r="K22" s="7"/>
      <c r="L22" s="11" t="str">
        <f t="shared" si="0"/>
        <v/>
      </c>
      <c r="M22" s="32" t="str">
        <f t="shared" si="1"/>
        <v/>
      </c>
      <c r="N22" t="str">
        <f t="shared" si="2"/>
        <v/>
      </c>
      <c r="O22" s="32" t="str">
        <f t="shared" si="4"/>
        <v/>
      </c>
      <c r="P22" t="str">
        <f t="shared" si="5"/>
        <v/>
      </c>
    </row>
    <row r="23" spans="1:20" x14ac:dyDescent="0.25">
      <c r="I23" s="6" t="str">
        <f t="shared" si="3"/>
        <v/>
      </c>
      <c r="J23" s="7"/>
      <c r="K23" s="7"/>
      <c r="L23" s="11" t="str">
        <f t="shared" si="0"/>
        <v/>
      </c>
      <c r="M23" s="32" t="str">
        <f t="shared" si="1"/>
        <v/>
      </c>
      <c r="N23" t="str">
        <f t="shared" si="2"/>
        <v/>
      </c>
      <c r="O23" s="32" t="str">
        <f t="shared" si="4"/>
        <v/>
      </c>
      <c r="P23" t="str">
        <f t="shared" si="5"/>
        <v/>
      </c>
    </row>
    <row r="24" spans="1:20" x14ac:dyDescent="0.25">
      <c r="I24" s="6" t="str">
        <f t="shared" si="3"/>
        <v/>
      </c>
      <c r="J24" s="7"/>
      <c r="K24" s="7"/>
      <c r="L24" s="11" t="str">
        <f t="shared" si="0"/>
        <v/>
      </c>
      <c r="M24" s="32" t="str">
        <f t="shared" si="1"/>
        <v/>
      </c>
      <c r="N24" t="str">
        <f t="shared" si="2"/>
        <v/>
      </c>
      <c r="O24" s="32" t="str">
        <f t="shared" si="4"/>
        <v/>
      </c>
      <c r="P24" t="str">
        <f t="shared" si="5"/>
        <v/>
      </c>
    </row>
    <row r="25" spans="1:20" ht="18.75" x14ac:dyDescent="0.3">
      <c r="A25" s="45" t="s">
        <v>21</v>
      </c>
      <c r="B25" s="45"/>
      <c r="C25" s="45"/>
      <c r="D25" s="45"/>
      <c r="I25" s="6" t="str">
        <f t="shared" si="3"/>
        <v/>
      </c>
      <c r="J25" s="7"/>
      <c r="K25" s="7"/>
      <c r="L25" s="11" t="str">
        <f t="shared" si="0"/>
        <v/>
      </c>
      <c r="M25" s="32" t="str">
        <f t="shared" si="1"/>
        <v/>
      </c>
      <c r="N25" t="str">
        <f t="shared" si="2"/>
        <v/>
      </c>
      <c r="O25" s="32" t="str">
        <f t="shared" si="4"/>
        <v/>
      </c>
      <c r="P25" t="str">
        <f t="shared" si="5"/>
        <v/>
      </c>
    </row>
    <row r="26" spans="1:20" x14ac:dyDescent="0.25">
      <c r="A26" s="3" t="s">
        <v>22</v>
      </c>
      <c r="I26" s="6" t="str">
        <f t="shared" si="3"/>
        <v/>
      </c>
      <c r="J26" s="7"/>
      <c r="K26" s="7"/>
      <c r="L26" s="11" t="str">
        <f t="shared" si="0"/>
        <v/>
      </c>
      <c r="M26" s="32" t="str">
        <f t="shared" si="1"/>
        <v/>
      </c>
      <c r="N26" t="str">
        <f t="shared" si="2"/>
        <v/>
      </c>
      <c r="O26" s="32" t="str">
        <f t="shared" si="4"/>
        <v/>
      </c>
      <c r="P26" t="str">
        <f t="shared" si="5"/>
        <v/>
      </c>
    </row>
    <row r="27" spans="1:20" x14ac:dyDescent="0.25">
      <c r="I27" s="6" t="str">
        <f t="shared" si="3"/>
        <v/>
      </c>
      <c r="J27" s="7"/>
      <c r="K27" s="7"/>
      <c r="L27" s="11" t="str">
        <f t="shared" si="0"/>
        <v/>
      </c>
      <c r="M27" s="32" t="str">
        <f t="shared" si="1"/>
        <v/>
      </c>
      <c r="N27" t="str">
        <f t="shared" si="2"/>
        <v/>
      </c>
      <c r="O27" s="32" t="str">
        <f t="shared" si="4"/>
        <v/>
      </c>
      <c r="P27" t="str">
        <f t="shared" si="5"/>
        <v/>
      </c>
    </row>
    <row r="28" spans="1:20" x14ac:dyDescent="0.25">
      <c r="A28" t="s">
        <v>97</v>
      </c>
      <c r="B28" t="s">
        <v>2</v>
      </c>
      <c r="C28" s="7">
        <v>0.67</v>
      </c>
      <c r="D28" t="s">
        <v>3</v>
      </c>
      <c r="I28" s="6" t="str">
        <f t="shared" si="3"/>
        <v/>
      </c>
      <c r="J28" s="7"/>
      <c r="K28" s="7"/>
      <c r="L28" s="11" t="str">
        <f t="shared" si="0"/>
        <v/>
      </c>
      <c r="M28" s="32" t="str">
        <f t="shared" si="1"/>
        <v/>
      </c>
      <c r="N28" t="str">
        <f t="shared" si="2"/>
        <v/>
      </c>
      <c r="O28" s="32" t="str">
        <f t="shared" si="4"/>
        <v/>
      </c>
      <c r="P28" t="str">
        <f t="shared" si="5"/>
        <v/>
      </c>
      <c r="S28">
        <f t="shared" ref="S28:S41" si="6">$L10</f>
        <v>1</v>
      </c>
      <c r="T28">
        <f t="shared" ref="T28:T41" si="7">IF($S28="","",$K10)</f>
        <v>0</v>
      </c>
    </row>
    <row r="29" spans="1:20" x14ac:dyDescent="0.25">
      <c r="A29" t="s">
        <v>23</v>
      </c>
      <c r="B29" t="s">
        <v>2</v>
      </c>
      <c r="C29" s="7">
        <v>10</v>
      </c>
      <c r="D29" t="s">
        <v>3</v>
      </c>
      <c r="I29" s="6" t="str">
        <f t="shared" si="3"/>
        <v/>
      </c>
      <c r="J29" s="7"/>
      <c r="K29" s="7"/>
      <c r="L29" s="11" t="str">
        <f t="shared" si="0"/>
        <v/>
      </c>
      <c r="M29" s="32" t="str">
        <f t="shared" si="1"/>
        <v/>
      </c>
      <c r="N29" t="str">
        <f t="shared" si="2"/>
        <v/>
      </c>
      <c r="O29" s="32" t="str">
        <f t="shared" si="4"/>
        <v/>
      </c>
      <c r="P29" t="str">
        <f t="shared" si="5"/>
        <v/>
      </c>
      <c r="S29">
        <f t="shared" si="6"/>
        <v>2</v>
      </c>
      <c r="T29">
        <f t="shared" si="7"/>
        <v>2</v>
      </c>
    </row>
    <row r="30" spans="1:20" ht="15.75" x14ac:dyDescent="0.25">
      <c r="A30" s="4" t="s">
        <v>24</v>
      </c>
      <c r="I30" s="6" t="str">
        <f t="shared" si="3"/>
        <v/>
      </c>
      <c r="J30" s="7"/>
      <c r="K30" s="7"/>
      <c r="L30" s="11" t="str">
        <f t="shared" si="0"/>
        <v/>
      </c>
      <c r="M30" s="32" t="str">
        <f t="shared" si="1"/>
        <v/>
      </c>
      <c r="N30" t="str">
        <f t="shared" si="2"/>
        <v/>
      </c>
      <c r="O30" s="32" t="str">
        <f t="shared" si="4"/>
        <v/>
      </c>
      <c r="P30" t="str">
        <f t="shared" si="5"/>
        <v/>
      </c>
      <c r="S30">
        <f t="shared" si="6"/>
        <v>3</v>
      </c>
      <c r="T30">
        <f t="shared" si="7"/>
        <v>4</v>
      </c>
    </row>
    <row r="31" spans="1:20" x14ac:dyDescent="0.25">
      <c r="A31" s="44" t="s">
        <v>25</v>
      </c>
      <c r="B31" s="44"/>
      <c r="C31" t="s">
        <v>2</v>
      </c>
      <c r="D31" s="7">
        <v>1000</v>
      </c>
      <c r="E31" t="s">
        <v>128</v>
      </c>
      <c r="I31" s="6" t="str">
        <f t="shared" si="3"/>
        <v/>
      </c>
      <c r="J31" s="7"/>
      <c r="K31" s="7"/>
      <c r="L31" s="11" t="str">
        <f t="shared" si="0"/>
        <v/>
      </c>
      <c r="M31" s="32" t="str">
        <f t="shared" si="1"/>
        <v/>
      </c>
      <c r="N31" t="str">
        <f t="shared" si="2"/>
        <v/>
      </c>
      <c r="O31" s="32" t="str">
        <f t="shared" si="4"/>
        <v/>
      </c>
      <c r="P31" t="str">
        <f t="shared" si="5"/>
        <v/>
      </c>
      <c r="S31">
        <f t="shared" si="6"/>
        <v>4</v>
      </c>
      <c r="T31">
        <f t="shared" si="7"/>
        <v>0</v>
      </c>
    </row>
    <row r="32" spans="1:20" x14ac:dyDescent="0.25">
      <c r="A32" s="44" t="s">
        <v>26</v>
      </c>
      <c r="B32" s="44"/>
      <c r="C32" t="s">
        <v>2</v>
      </c>
      <c r="D32" s="7">
        <v>200</v>
      </c>
      <c r="E32" t="s">
        <v>128</v>
      </c>
      <c r="I32" s="6" t="str">
        <f t="shared" si="3"/>
        <v/>
      </c>
      <c r="J32" s="7"/>
      <c r="K32" s="7"/>
      <c r="L32" s="11" t="str">
        <f t="shared" si="0"/>
        <v/>
      </c>
      <c r="M32" s="32" t="str">
        <f t="shared" si="1"/>
        <v/>
      </c>
      <c r="N32" t="str">
        <f t="shared" si="2"/>
        <v/>
      </c>
      <c r="O32" s="32" t="str">
        <f t="shared" si="4"/>
        <v/>
      </c>
      <c r="P32" t="str">
        <f t="shared" si="5"/>
        <v/>
      </c>
      <c r="S32">
        <f t="shared" si="6"/>
        <v>5</v>
      </c>
      <c r="T32">
        <f t="shared" si="7"/>
        <v>4</v>
      </c>
    </row>
    <row r="33" spans="1:20" x14ac:dyDescent="0.25">
      <c r="A33" t="s">
        <v>27</v>
      </c>
      <c r="C33" t="s">
        <v>2</v>
      </c>
      <c r="D33" s="7">
        <v>160</v>
      </c>
      <c r="E33" t="s">
        <v>128</v>
      </c>
      <c r="I33" s="6" t="str">
        <f t="shared" si="3"/>
        <v/>
      </c>
      <c r="J33" s="7"/>
      <c r="K33" s="7"/>
      <c r="L33" s="11" t="str">
        <f t="shared" si="0"/>
        <v/>
      </c>
      <c r="M33" s="32" t="str">
        <f t="shared" si="1"/>
        <v/>
      </c>
      <c r="N33" t="str">
        <f t="shared" si="2"/>
        <v/>
      </c>
      <c r="O33" s="32" t="str">
        <f t="shared" si="4"/>
        <v/>
      </c>
      <c r="P33" t="str">
        <f t="shared" si="5"/>
        <v/>
      </c>
      <c r="S33">
        <f t="shared" si="6"/>
        <v>6</v>
      </c>
      <c r="T33">
        <f t="shared" si="7"/>
        <v>0</v>
      </c>
    </row>
    <row r="34" spans="1:20" x14ac:dyDescent="0.25">
      <c r="I34" s="6" t="str">
        <f t="shared" si="3"/>
        <v/>
      </c>
      <c r="J34" s="7"/>
      <c r="K34" s="7"/>
      <c r="L34" s="11" t="str">
        <f t="shared" si="0"/>
        <v/>
      </c>
      <c r="M34" s="32" t="str">
        <f t="shared" si="1"/>
        <v/>
      </c>
      <c r="N34" t="str">
        <f t="shared" si="2"/>
        <v/>
      </c>
      <c r="O34" s="32" t="str">
        <f t="shared" si="4"/>
        <v/>
      </c>
      <c r="P34" t="str">
        <f t="shared" si="5"/>
        <v/>
      </c>
      <c r="S34">
        <f t="shared" si="6"/>
        <v>7</v>
      </c>
      <c r="T34">
        <f t="shared" si="7"/>
        <v>2</v>
      </c>
    </row>
    <row r="35" spans="1:20" x14ac:dyDescent="0.25">
      <c r="A35" t="s">
        <v>28</v>
      </c>
      <c r="C35" t="s">
        <v>2</v>
      </c>
      <c r="D35">
        <f>1.15*C20*(1+G21)*(1+G22)/D31</f>
        <v>6.9575000000000022</v>
      </c>
      <c r="S35">
        <f t="shared" si="6"/>
        <v>8</v>
      </c>
      <c r="T35">
        <f t="shared" si="7"/>
        <v>4</v>
      </c>
    </row>
    <row r="36" spans="1:20" x14ac:dyDescent="0.25">
      <c r="A36" s="44" t="s">
        <v>90</v>
      </c>
      <c r="B36" s="44"/>
      <c r="C36" t="s">
        <v>2</v>
      </c>
      <c r="D36" s="7">
        <v>8</v>
      </c>
      <c r="S36" t="str">
        <f t="shared" si="6"/>
        <v/>
      </c>
      <c r="T36" t="str">
        <f t="shared" si="7"/>
        <v/>
      </c>
    </row>
    <row r="37" spans="1:20" x14ac:dyDescent="0.25">
      <c r="A37" s="47" t="s">
        <v>51</v>
      </c>
      <c r="B37" s="47"/>
      <c r="C37" t="s">
        <v>2</v>
      </c>
      <c r="D37" s="7">
        <v>1550</v>
      </c>
      <c r="E37" t="s">
        <v>31</v>
      </c>
      <c r="S37" t="str">
        <f t="shared" si="6"/>
        <v/>
      </c>
      <c r="T37" t="str">
        <f t="shared" si="7"/>
        <v/>
      </c>
    </row>
    <row r="38" spans="1:20" x14ac:dyDescent="0.25">
      <c r="A38" t="s">
        <v>29</v>
      </c>
      <c r="B38">
        <v>150</v>
      </c>
      <c r="C38" t="s">
        <v>31</v>
      </c>
      <c r="S38" t="str">
        <f t="shared" si="6"/>
        <v/>
      </c>
      <c r="T38" t="str">
        <f t="shared" si="7"/>
        <v/>
      </c>
    </row>
    <row r="39" spans="1:20" x14ac:dyDescent="0.25">
      <c r="A39" t="s">
        <v>30</v>
      </c>
      <c r="B39">
        <f>3*C28</f>
        <v>2.0100000000000002</v>
      </c>
      <c r="C39" t="s">
        <v>32</v>
      </c>
      <c r="S39" t="str">
        <f t="shared" si="6"/>
        <v/>
      </c>
      <c r="T39" t="str">
        <f t="shared" si="7"/>
        <v/>
      </c>
    </row>
    <row r="40" spans="1:20" x14ac:dyDescent="0.25">
      <c r="S40" t="str">
        <f t="shared" si="6"/>
        <v/>
      </c>
      <c r="T40" t="str">
        <f t="shared" si="7"/>
        <v/>
      </c>
    </row>
    <row r="41" spans="1:20" x14ac:dyDescent="0.25">
      <c r="H41" s="44"/>
      <c r="I41" s="44"/>
      <c r="J41" s="44"/>
      <c r="K41" s="44"/>
      <c r="S41" t="str">
        <f t="shared" si="6"/>
        <v/>
      </c>
      <c r="T41" t="str">
        <f t="shared" si="7"/>
        <v/>
      </c>
    </row>
    <row r="43" spans="1:20" x14ac:dyDescent="0.25">
      <c r="S43" t="str">
        <f t="shared" ref="S43:S52" si="8">$L24</f>
        <v/>
      </c>
      <c r="T43" t="str">
        <f t="shared" ref="T43:T53" si="9">IF($S43="","",$K24)</f>
        <v/>
      </c>
    </row>
    <row r="44" spans="1:20" x14ac:dyDescent="0.25">
      <c r="S44" t="str">
        <f t="shared" si="8"/>
        <v/>
      </c>
      <c r="T44" t="str">
        <f t="shared" si="9"/>
        <v/>
      </c>
    </row>
    <row r="45" spans="1:20" x14ac:dyDescent="0.25">
      <c r="S45" t="str">
        <f t="shared" si="8"/>
        <v/>
      </c>
      <c r="T45" t="str">
        <f t="shared" si="9"/>
        <v/>
      </c>
    </row>
    <row r="46" spans="1:20" x14ac:dyDescent="0.25">
      <c r="J46" s="43" t="s">
        <v>87</v>
      </c>
      <c r="K46" s="44"/>
      <c r="L46" s="44"/>
      <c r="N46" s="43" t="s">
        <v>86</v>
      </c>
      <c r="O46" s="44"/>
      <c r="P46" s="44"/>
      <c r="S46" t="str">
        <f t="shared" si="8"/>
        <v/>
      </c>
      <c r="T46" t="str">
        <f t="shared" si="9"/>
        <v/>
      </c>
    </row>
    <row r="47" spans="1:20" x14ac:dyDescent="0.25">
      <c r="S47" t="str">
        <f t="shared" si="8"/>
        <v/>
      </c>
      <c r="T47" t="str">
        <f t="shared" si="9"/>
        <v/>
      </c>
    </row>
    <row r="48" spans="1:20" x14ac:dyDescent="0.25">
      <c r="J48" t="s">
        <v>55</v>
      </c>
      <c r="K48" t="s">
        <v>56</v>
      </c>
      <c r="N48" t="s">
        <v>55</v>
      </c>
      <c r="O48" t="s">
        <v>56</v>
      </c>
      <c r="S48" t="str">
        <f t="shared" si="8"/>
        <v/>
      </c>
      <c r="T48" t="str">
        <f t="shared" si="9"/>
        <v/>
      </c>
    </row>
    <row r="49" spans="1:20" x14ac:dyDescent="0.25">
      <c r="J49" s="32">
        <v>6</v>
      </c>
      <c r="K49">
        <f t="shared" ref="K49:K61" si="10">IF($J49="","",VLOOKUP($J49,$L$10:$M$34,2,FALSE))</f>
        <v>625</v>
      </c>
      <c r="N49" s="32">
        <v>1</v>
      </c>
      <c r="O49">
        <f t="shared" ref="O49:O71" si="11">IF($N49="","",VLOOKUP($N49,$L$10:$M$34,2,FALSE))</f>
        <v>541.66666666666674</v>
      </c>
      <c r="S49" t="str">
        <f t="shared" si="8"/>
        <v/>
      </c>
      <c r="T49" t="str">
        <f t="shared" si="9"/>
        <v/>
      </c>
    </row>
    <row r="50" spans="1:20" x14ac:dyDescent="0.25">
      <c r="J50" s="32">
        <v>7</v>
      </c>
      <c r="K50">
        <f t="shared" si="10"/>
        <v>666.66666666666663</v>
      </c>
      <c r="N50" s="32">
        <v>2</v>
      </c>
      <c r="O50">
        <f t="shared" si="11"/>
        <v>583.33333333333337</v>
      </c>
      <c r="S50" t="str">
        <f t="shared" si="8"/>
        <v/>
      </c>
      <c r="T50" t="str">
        <f t="shared" si="9"/>
        <v/>
      </c>
    </row>
    <row r="51" spans="1:20" x14ac:dyDescent="0.25">
      <c r="J51" s="32">
        <v>8</v>
      </c>
      <c r="K51">
        <f t="shared" si="10"/>
        <v>708.33333333333326</v>
      </c>
      <c r="N51" s="32">
        <v>3</v>
      </c>
      <c r="O51">
        <f t="shared" si="11"/>
        <v>625</v>
      </c>
      <c r="S51" t="str">
        <f t="shared" si="8"/>
        <v/>
      </c>
      <c r="T51" t="str">
        <f t="shared" si="9"/>
        <v/>
      </c>
    </row>
    <row r="52" spans="1:20" x14ac:dyDescent="0.25">
      <c r="J52" s="32"/>
      <c r="K52" t="str">
        <f t="shared" si="10"/>
        <v/>
      </c>
      <c r="N52" s="32">
        <v>4</v>
      </c>
      <c r="O52">
        <f t="shared" si="11"/>
        <v>583.33333333333337</v>
      </c>
      <c r="S52" t="str">
        <f t="shared" si="8"/>
        <v/>
      </c>
      <c r="T52" t="str">
        <f t="shared" si="9"/>
        <v/>
      </c>
    </row>
    <row r="53" spans="1:20" x14ac:dyDescent="0.25">
      <c r="J53" s="32"/>
      <c r="K53" t="str">
        <f t="shared" si="10"/>
        <v/>
      </c>
      <c r="N53" s="32">
        <v>5</v>
      </c>
      <c r="O53">
        <f t="shared" si="11"/>
        <v>666.66666666666663</v>
      </c>
      <c r="T53" t="str">
        <f t="shared" si="9"/>
        <v/>
      </c>
    </row>
    <row r="54" spans="1:20" x14ac:dyDescent="0.25">
      <c r="J54" s="32"/>
      <c r="K54" t="str">
        <f t="shared" si="10"/>
        <v/>
      </c>
      <c r="N54" s="32">
        <v>6</v>
      </c>
      <c r="O54">
        <f t="shared" si="11"/>
        <v>625</v>
      </c>
      <c r="T54" t="str">
        <f>IF($S54="","",#REF!)</f>
        <v/>
      </c>
    </row>
    <row r="55" spans="1:20" x14ac:dyDescent="0.25">
      <c r="J55" s="32"/>
      <c r="K55" t="str">
        <f t="shared" si="10"/>
        <v/>
      </c>
      <c r="N55" s="32">
        <v>7</v>
      </c>
      <c r="O55">
        <f t="shared" si="11"/>
        <v>666.66666666666663</v>
      </c>
    </row>
    <row r="56" spans="1:20" x14ac:dyDescent="0.25">
      <c r="J56" s="32"/>
      <c r="K56" t="str">
        <f t="shared" si="10"/>
        <v/>
      </c>
      <c r="N56" s="32">
        <v>8</v>
      </c>
      <c r="O56">
        <f t="shared" si="11"/>
        <v>708.33333333333326</v>
      </c>
    </row>
    <row r="57" spans="1:20" x14ac:dyDescent="0.25">
      <c r="J57" s="32"/>
      <c r="K57" t="str">
        <f t="shared" si="10"/>
        <v/>
      </c>
      <c r="N57" s="32"/>
      <c r="O57" t="str">
        <f t="shared" si="11"/>
        <v/>
      </c>
    </row>
    <row r="58" spans="1:20" x14ac:dyDescent="0.25">
      <c r="J58" s="32"/>
      <c r="K58" t="str">
        <f t="shared" si="10"/>
        <v/>
      </c>
      <c r="N58" s="32"/>
      <c r="O58" t="str">
        <f t="shared" si="11"/>
        <v/>
      </c>
    </row>
    <row r="59" spans="1:20" x14ac:dyDescent="0.25">
      <c r="J59" s="32"/>
      <c r="K59" t="str">
        <f t="shared" si="10"/>
        <v/>
      </c>
      <c r="N59" s="32"/>
      <c r="O59" t="str">
        <f t="shared" si="11"/>
        <v/>
      </c>
    </row>
    <row r="60" spans="1:20" x14ac:dyDescent="0.25">
      <c r="J60" s="32"/>
      <c r="K60" t="str">
        <f t="shared" si="10"/>
        <v/>
      </c>
      <c r="N60" s="32"/>
      <c r="O60" t="str">
        <f t="shared" si="11"/>
        <v/>
      </c>
    </row>
    <row r="61" spans="1:20" x14ac:dyDescent="0.25">
      <c r="A61" t="s">
        <v>119</v>
      </c>
      <c r="E61" t="s">
        <v>120</v>
      </c>
      <c r="J61" s="32"/>
      <c r="K61" t="str">
        <f t="shared" si="10"/>
        <v/>
      </c>
      <c r="N61" s="32"/>
      <c r="O61" t="str">
        <f t="shared" si="11"/>
        <v/>
      </c>
    </row>
    <row r="62" spans="1:20" x14ac:dyDescent="0.25">
      <c r="J62" t="s">
        <v>58</v>
      </c>
      <c r="K62" s="5">
        <f>SUM(K49:K61)</f>
        <v>1999.9999999999998</v>
      </c>
      <c r="L62" t="s">
        <v>128</v>
      </c>
      <c r="N62" s="32"/>
      <c r="O62" t="str">
        <f t="shared" si="11"/>
        <v/>
      </c>
    </row>
    <row r="63" spans="1:20" x14ac:dyDescent="0.25">
      <c r="A63" s="9" t="s">
        <v>55</v>
      </c>
      <c r="B63" t="s">
        <v>56</v>
      </c>
      <c r="C63" t="s">
        <v>57</v>
      </c>
      <c r="D63" t="s">
        <v>48</v>
      </c>
      <c r="E63" s="9" t="s">
        <v>55</v>
      </c>
      <c r="F63" t="s">
        <v>56</v>
      </c>
      <c r="G63" t="s">
        <v>57</v>
      </c>
      <c r="H63" t="s">
        <v>48</v>
      </c>
      <c r="J63" s="43" t="s">
        <v>88</v>
      </c>
      <c r="K63" s="44"/>
      <c r="L63" s="44"/>
      <c r="N63" s="32"/>
      <c r="O63" t="str">
        <f t="shared" si="11"/>
        <v/>
      </c>
    </row>
    <row r="64" spans="1:20" x14ac:dyDescent="0.25">
      <c r="A64" s="32">
        <v>6</v>
      </c>
      <c r="B64">
        <f t="shared" ref="B64:B77" si="12">IF($A64="","",VLOOKUP($A64,$L$10:$M$34,2,FALSE))</f>
        <v>625</v>
      </c>
      <c r="C64">
        <f t="shared" ref="C64:C77" si="13">IF($A64="","",ABS(VLOOKUP($A64,$I$10:$J$34,2,FALSE))-$C$141)</f>
        <v>2</v>
      </c>
      <c r="D64">
        <f t="shared" ref="D64:D77" si="14">IF($A64="","",$B64*$C64)</f>
        <v>1250</v>
      </c>
      <c r="E64" s="32">
        <v>3</v>
      </c>
      <c r="F64">
        <f t="shared" ref="F64:F77" si="15">IF($E64="","",VLOOKUP($E64,$L$10:$M$34,2,FALSE))</f>
        <v>625</v>
      </c>
      <c r="G64">
        <f t="shared" ref="G64:G77" si="16">IF($E64="","",ABS(VLOOKUP($E64,$S$28:$T$53,2,FALSE)-$D$141))</f>
        <v>2</v>
      </c>
      <c r="H64">
        <f t="shared" ref="H64:H77" si="17">IF($E64="","",$F64*$G64)</f>
        <v>1250</v>
      </c>
      <c r="N64" s="32"/>
      <c r="O64" t="str">
        <f t="shared" si="11"/>
        <v/>
      </c>
    </row>
    <row r="65" spans="1:16" x14ac:dyDescent="0.25">
      <c r="A65" s="32">
        <v>7</v>
      </c>
      <c r="B65">
        <f t="shared" si="12"/>
        <v>666.66666666666663</v>
      </c>
      <c r="C65">
        <f t="shared" si="13"/>
        <v>2</v>
      </c>
      <c r="D65">
        <f t="shared" si="14"/>
        <v>1333.3333333333333</v>
      </c>
      <c r="E65" s="32">
        <v>5</v>
      </c>
      <c r="F65">
        <f t="shared" si="15"/>
        <v>666.66666666666663</v>
      </c>
      <c r="G65">
        <f t="shared" si="16"/>
        <v>2</v>
      </c>
      <c r="H65">
        <f t="shared" si="17"/>
        <v>1333.3333333333333</v>
      </c>
      <c r="J65" t="s">
        <v>55</v>
      </c>
      <c r="K65" t="s">
        <v>131</v>
      </c>
      <c r="N65" s="32"/>
      <c r="O65" t="str">
        <f t="shared" si="11"/>
        <v/>
      </c>
    </row>
    <row r="66" spans="1:16" x14ac:dyDescent="0.25">
      <c r="A66" s="32">
        <v>8</v>
      </c>
      <c r="B66">
        <f t="shared" si="12"/>
        <v>708.33333333333326</v>
      </c>
      <c r="C66">
        <f t="shared" si="13"/>
        <v>2</v>
      </c>
      <c r="D66">
        <f t="shared" si="14"/>
        <v>1416.6666666666665</v>
      </c>
      <c r="E66" s="32">
        <v>8</v>
      </c>
      <c r="F66">
        <f t="shared" si="15"/>
        <v>708.33333333333326</v>
      </c>
      <c r="G66">
        <f t="shared" si="16"/>
        <v>2</v>
      </c>
      <c r="H66">
        <f t="shared" si="17"/>
        <v>1416.6666666666665</v>
      </c>
      <c r="J66" s="32">
        <v>3</v>
      </c>
      <c r="K66">
        <f t="shared" ref="K66:K78" si="18">IF($J66="","",VLOOKUP($J66,$L$10:$M$34,2,FALSE))</f>
        <v>625</v>
      </c>
      <c r="N66" s="32"/>
      <c r="O66" t="str">
        <f t="shared" si="11"/>
        <v/>
      </c>
    </row>
    <row r="67" spans="1:16" x14ac:dyDescent="0.25">
      <c r="A67" s="32"/>
      <c r="B67" t="str">
        <f t="shared" si="12"/>
        <v/>
      </c>
      <c r="C67" t="str">
        <f t="shared" si="13"/>
        <v/>
      </c>
      <c r="D67" t="str">
        <f t="shared" si="14"/>
        <v/>
      </c>
      <c r="E67" s="32"/>
      <c r="F67" t="str">
        <f t="shared" si="15"/>
        <v/>
      </c>
      <c r="G67" t="str">
        <f t="shared" si="16"/>
        <v/>
      </c>
      <c r="H67" t="str">
        <f t="shared" si="17"/>
        <v/>
      </c>
      <c r="J67" s="32">
        <v>5</v>
      </c>
      <c r="K67">
        <f t="shared" si="18"/>
        <v>666.66666666666663</v>
      </c>
      <c r="N67" s="32"/>
      <c r="O67" t="str">
        <f t="shared" si="11"/>
        <v/>
      </c>
    </row>
    <row r="68" spans="1:16" x14ac:dyDescent="0.25">
      <c r="A68" s="32"/>
      <c r="B68" t="str">
        <f t="shared" si="12"/>
        <v/>
      </c>
      <c r="C68" t="str">
        <f t="shared" si="13"/>
        <v/>
      </c>
      <c r="D68" t="str">
        <f t="shared" si="14"/>
        <v/>
      </c>
      <c r="E68" s="32"/>
      <c r="F68" t="str">
        <f t="shared" si="15"/>
        <v/>
      </c>
      <c r="G68" t="str">
        <f t="shared" si="16"/>
        <v/>
      </c>
      <c r="H68" t="str">
        <f t="shared" si="17"/>
        <v/>
      </c>
      <c r="J68" s="32">
        <v>8</v>
      </c>
      <c r="K68">
        <f t="shared" si="18"/>
        <v>708.33333333333326</v>
      </c>
      <c r="N68" s="32"/>
      <c r="O68" t="str">
        <f t="shared" si="11"/>
        <v/>
      </c>
    </row>
    <row r="69" spans="1:16" x14ac:dyDescent="0.25">
      <c r="A69" s="32"/>
      <c r="B69" t="str">
        <f t="shared" si="12"/>
        <v/>
      </c>
      <c r="C69" t="str">
        <f t="shared" si="13"/>
        <v/>
      </c>
      <c r="D69" t="str">
        <f t="shared" si="14"/>
        <v/>
      </c>
      <c r="E69" s="32"/>
      <c r="F69" t="str">
        <f t="shared" si="15"/>
        <v/>
      </c>
      <c r="G69" t="str">
        <f t="shared" si="16"/>
        <v/>
      </c>
      <c r="H69" t="str">
        <f t="shared" si="17"/>
        <v/>
      </c>
      <c r="J69" s="32"/>
      <c r="K69" t="str">
        <f t="shared" si="18"/>
        <v/>
      </c>
      <c r="N69" s="32"/>
      <c r="O69" t="str">
        <f t="shared" si="11"/>
        <v/>
      </c>
    </row>
    <row r="70" spans="1:16" x14ac:dyDescent="0.25">
      <c r="A70" s="32"/>
      <c r="B70" t="str">
        <f t="shared" si="12"/>
        <v/>
      </c>
      <c r="C70" t="str">
        <f t="shared" si="13"/>
        <v/>
      </c>
      <c r="D70" t="str">
        <f t="shared" si="14"/>
        <v/>
      </c>
      <c r="E70" s="32"/>
      <c r="F70" t="str">
        <f t="shared" si="15"/>
        <v/>
      </c>
      <c r="G70" t="str">
        <f t="shared" si="16"/>
        <v/>
      </c>
      <c r="H70" t="str">
        <f t="shared" si="17"/>
        <v/>
      </c>
      <c r="J70" s="32"/>
      <c r="K70" t="str">
        <f t="shared" si="18"/>
        <v/>
      </c>
      <c r="N70" s="32"/>
      <c r="O70" t="str">
        <f t="shared" si="11"/>
        <v/>
      </c>
    </row>
    <row r="71" spans="1:16" x14ac:dyDescent="0.25">
      <c r="A71" s="32"/>
      <c r="B71" t="str">
        <f t="shared" si="12"/>
        <v/>
      </c>
      <c r="C71" t="str">
        <f t="shared" si="13"/>
        <v/>
      </c>
      <c r="D71" t="str">
        <f t="shared" si="14"/>
        <v/>
      </c>
      <c r="E71" s="32"/>
      <c r="F71" t="str">
        <f t="shared" si="15"/>
        <v/>
      </c>
      <c r="G71" t="str">
        <f t="shared" si="16"/>
        <v/>
      </c>
      <c r="H71" t="str">
        <f t="shared" si="17"/>
        <v/>
      </c>
      <c r="J71" s="32"/>
      <c r="K71" t="str">
        <f t="shared" si="18"/>
        <v/>
      </c>
      <c r="N71" s="32"/>
      <c r="O71" t="str">
        <f t="shared" si="11"/>
        <v/>
      </c>
    </row>
    <row r="72" spans="1:16" x14ac:dyDescent="0.25">
      <c r="A72" s="32"/>
      <c r="B72" t="str">
        <f t="shared" si="12"/>
        <v/>
      </c>
      <c r="C72" t="str">
        <f t="shared" si="13"/>
        <v/>
      </c>
      <c r="D72" t="str">
        <f t="shared" si="14"/>
        <v/>
      </c>
      <c r="E72" s="32"/>
      <c r="F72" t="str">
        <f t="shared" si="15"/>
        <v/>
      </c>
      <c r="G72" t="str">
        <f t="shared" si="16"/>
        <v/>
      </c>
      <c r="H72" t="str">
        <f t="shared" si="17"/>
        <v/>
      </c>
      <c r="J72" s="32"/>
      <c r="K72" t="str">
        <f t="shared" si="18"/>
        <v/>
      </c>
      <c r="O72" s="5">
        <f>SUM(O49:O71)</f>
        <v>5000</v>
      </c>
      <c r="P72" t="s">
        <v>128</v>
      </c>
    </row>
    <row r="73" spans="1:16" x14ac:dyDescent="0.25">
      <c r="A73" s="32"/>
      <c r="B73" t="str">
        <f t="shared" si="12"/>
        <v/>
      </c>
      <c r="C73" t="str">
        <f t="shared" si="13"/>
        <v/>
      </c>
      <c r="D73" t="str">
        <f t="shared" si="14"/>
        <v/>
      </c>
      <c r="E73" s="32"/>
      <c r="F73" t="str">
        <f t="shared" si="15"/>
        <v/>
      </c>
      <c r="G73" t="str">
        <f t="shared" si="16"/>
        <v/>
      </c>
      <c r="H73" t="str">
        <f t="shared" si="17"/>
        <v/>
      </c>
      <c r="J73" s="32"/>
      <c r="K73" t="str">
        <f t="shared" si="18"/>
        <v/>
      </c>
    </row>
    <row r="74" spans="1:16" x14ac:dyDescent="0.25">
      <c r="A74" s="32"/>
      <c r="B74" t="str">
        <f t="shared" si="12"/>
        <v/>
      </c>
      <c r="C74" t="str">
        <f t="shared" si="13"/>
        <v/>
      </c>
      <c r="D74" t="str">
        <f t="shared" si="14"/>
        <v/>
      </c>
      <c r="E74" s="32"/>
      <c r="F74" t="str">
        <f t="shared" si="15"/>
        <v/>
      </c>
      <c r="G74" t="str">
        <f t="shared" si="16"/>
        <v/>
      </c>
      <c r="H74" t="str">
        <f t="shared" si="17"/>
        <v/>
      </c>
      <c r="J74" s="32"/>
      <c r="K74" t="str">
        <f t="shared" si="18"/>
        <v/>
      </c>
    </row>
    <row r="75" spans="1:16" x14ac:dyDescent="0.25">
      <c r="A75" s="32"/>
      <c r="B75" t="str">
        <f t="shared" si="12"/>
        <v/>
      </c>
      <c r="C75" t="str">
        <f t="shared" si="13"/>
        <v/>
      </c>
      <c r="D75" t="str">
        <f t="shared" si="14"/>
        <v/>
      </c>
      <c r="E75" s="32"/>
      <c r="F75" t="str">
        <f t="shared" si="15"/>
        <v/>
      </c>
      <c r="G75" t="str">
        <f t="shared" si="16"/>
        <v/>
      </c>
      <c r="H75" t="str">
        <f t="shared" si="17"/>
        <v/>
      </c>
      <c r="J75" s="32"/>
      <c r="K75" t="str">
        <f t="shared" si="18"/>
        <v/>
      </c>
    </row>
    <row r="76" spans="1:16" x14ac:dyDescent="0.25">
      <c r="A76" s="32"/>
      <c r="B76" t="str">
        <f t="shared" si="12"/>
        <v/>
      </c>
      <c r="C76" t="str">
        <f t="shared" si="13"/>
        <v/>
      </c>
      <c r="D76" t="str">
        <f t="shared" si="14"/>
        <v/>
      </c>
      <c r="E76" s="32"/>
      <c r="F76" t="str">
        <f t="shared" si="15"/>
        <v/>
      </c>
      <c r="G76" t="str">
        <f t="shared" si="16"/>
        <v/>
      </c>
      <c r="H76" t="str">
        <f t="shared" si="17"/>
        <v/>
      </c>
      <c r="J76" s="32"/>
      <c r="K76" t="str">
        <f t="shared" si="18"/>
        <v/>
      </c>
    </row>
    <row r="77" spans="1:16" x14ac:dyDescent="0.25">
      <c r="A77" s="32"/>
      <c r="B77" t="str">
        <f t="shared" si="12"/>
        <v/>
      </c>
      <c r="C77" t="str">
        <f t="shared" si="13"/>
        <v/>
      </c>
      <c r="D77" t="str">
        <f t="shared" si="14"/>
        <v/>
      </c>
      <c r="E77" s="32"/>
      <c r="F77" t="str">
        <f t="shared" si="15"/>
        <v/>
      </c>
      <c r="G77" t="str">
        <f t="shared" si="16"/>
        <v/>
      </c>
      <c r="H77" t="str">
        <f t="shared" si="17"/>
        <v/>
      </c>
      <c r="J77" s="32"/>
      <c r="K77" t="str">
        <f t="shared" si="18"/>
        <v/>
      </c>
    </row>
    <row r="78" spans="1:16" x14ac:dyDescent="0.25">
      <c r="C78" t="s">
        <v>58</v>
      </c>
      <c r="D78" s="33">
        <f>SUM(D64:D77)</f>
        <v>3999.9999999999995</v>
      </c>
      <c r="G78" t="s">
        <v>58</v>
      </c>
      <c r="H78" s="33">
        <f>SUM(H64:H77)</f>
        <v>3999.9999999999995</v>
      </c>
      <c r="J78" s="32"/>
      <c r="K78" t="str">
        <f t="shared" si="18"/>
        <v/>
      </c>
    </row>
    <row r="79" spans="1:16" x14ac:dyDescent="0.25">
      <c r="J79" t="s">
        <v>58</v>
      </c>
      <c r="K79" s="32">
        <f>SUM(K66:K78)</f>
        <v>1999.9999999999998</v>
      </c>
      <c r="L79" t="s">
        <v>128</v>
      </c>
    </row>
    <row r="80" spans="1:16" x14ac:dyDescent="0.25">
      <c r="C80" t="s">
        <v>81</v>
      </c>
      <c r="E80" s="33">
        <f>MAX(D78,H78)</f>
        <v>3999.9999999999995</v>
      </c>
      <c r="F80" t="s">
        <v>130</v>
      </c>
    </row>
    <row r="93" spans="1:3" x14ac:dyDescent="0.25">
      <c r="A93" s="26" t="s">
        <v>99</v>
      </c>
      <c r="B93" s="26"/>
    </row>
    <row r="94" spans="1:3" x14ac:dyDescent="0.25">
      <c r="A94" s="43" t="s">
        <v>87</v>
      </c>
      <c r="B94" s="44"/>
      <c r="C94" s="44"/>
    </row>
    <row r="95" spans="1:3" x14ac:dyDescent="0.25">
      <c r="A95" t="s">
        <v>85</v>
      </c>
    </row>
    <row r="96" spans="1:3" x14ac:dyDescent="0.25">
      <c r="A96" t="s">
        <v>55</v>
      </c>
      <c r="B96" t="s">
        <v>56</v>
      </c>
    </row>
    <row r="97" spans="1:3" x14ac:dyDescent="0.25">
      <c r="A97" s="5">
        <v>5</v>
      </c>
      <c r="B97">
        <f>IF($A97="","",VLOOKUP($A97,$L$10:$M$34,2,FALSE))</f>
        <v>666.66666666666663</v>
      </c>
    </row>
    <row r="98" spans="1:3" x14ac:dyDescent="0.25">
      <c r="A98" s="5">
        <v>7</v>
      </c>
      <c r="B98">
        <f t="shared" ref="B98:B109" si="19">IF($A98="","",VLOOKUP($A98,$L$10:$M$34,2,FALSE))</f>
        <v>666.66666666666663</v>
      </c>
    </row>
    <row r="99" spans="1:3" x14ac:dyDescent="0.25">
      <c r="A99" s="5">
        <v>8</v>
      </c>
      <c r="B99">
        <f t="shared" si="19"/>
        <v>708.33333333333326</v>
      </c>
    </row>
    <row r="100" spans="1:3" x14ac:dyDescent="0.25">
      <c r="A100" s="5"/>
      <c r="B100" t="str">
        <f t="shared" si="19"/>
        <v/>
      </c>
    </row>
    <row r="101" spans="1:3" x14ac:dyDescent="0.25">
      <c r="A101" s="5"/>
      <c r="B101" t="str">
        <f t="shared" si="19"/>
        <v/>
      </c>
    </row>
    <row r="102" spans="1:3" x14ac:dyDescent="0.25">
      <c r="A102" s="5"/>
      <c r="B102" t="str">
        <f t="shared" si="19"/>
        <v/>
      </c>
    </row>
    <row r="103" spans="1:3" x14ac:dyDescent="0.25">
      <c r="A103" s="5"/>
      <c r="B103" t="str">
        <f t="shared" si="19"/>
        <v/>
      </c>
    </row>
    <row r="104" spans="1:3" x14ac:dyDescent="0.25">
      <c r="A104" s="5"/>
      <c r="B104" t="str">
        <f t="shared" si="19"/>
        <v/>
      </c>
    </row>
    <row r="105" spans="1:3" x14ac:dyDescent="0.25">
      <c r="A105" s="5"/>
      <c r="B105" t="str">
        <f t="shared" si="19"/>
        <v/>
      </c>
    </row>
    <row r="106" spans="1:3" x14ac:dyDescent="0.25">
      <c r="A106" s="5"/>
      <c r="B106" t="str">
        <f t="shared" si="19"/>
        <v/>
      </c>
    </row>
    <row r="107" spans="1:3" x14ac:dyDescent="0.25">
      <c r="A107" s="5"/>
      <c r="B107" t="str">
        <f t="shared" si="19"/>
        <v/>
      </c>
    </row>
    <row r="108" spans="1:3" x14ac:dyDescent="0.25">
      <c r="A108" s="5"/>
      <c r="B108" t="str">
        <f t="shared" si="19"/>
        <v/>
      </c>
    </row>
    <row r="109" spans="1:3" x14ac:dyDescent="0.25">
      <c r="A109" s="5"/>
      <c r="B109" t="str">
        <f t="shared" si="19"/>
        <v/>
      </c>
    </row>
    <row r="110" spans="1:3" x14ac:dyDescent="0.25">
      <c r="A110" t="s">
        <v>58</v>
      </c>
      <c r="B110" s="5">
        <f>SUM(B97:B109)</f>
        <v>2041.6666666666665</v>
      </c>
      <c r="C110" t="s">
        <v>128</v>
      </c>
    </row>
    <row r="140" spans="1:5" x14ac:dyDescent="0.25">
      <c r="A140" t="s">
        <v>38</v>
      </c>
      <c r="C140" s="1" t="s">
        <v>40</v>
      </c>
      <c r="D140" s="1" t="s">
        <v>37</v>
      </c>
    </row>
    <row r="141" spans="1:5" x14ac:dyDescent="0.25">
      <c r="C141" s="1">
        <f>SUM(J10:J34)/D36</f>
        <v>2</v>
      </c>
      <c r="D141" s="1">
        <f>SUM(K10:K34)/D36</f>
        <v>2</v>
      </c>
    </row>
    <row r="143" spans="1:5" x14ac:dyDescent="0.25">
      <c r="A143" t="s">
        <v>41</v>
      </c>
    </row>
    <row r="144" spans="1:5" x14ac:dyDescent="0.25">
      <c r="A144" t="s">
        <v>34</v>
      </c>
      <c r="B144" t="s">
        <v>39</v>
      </c>
      <c r="C144" t="s">
        <v>35</v>
      </c>
      <c r="D144" t="s">
        <v>42</v>
      </c>
      <c r="E144" t="s">
        <v>43</v>
      </c>
    </row>
    <row r="145" spans="1:5" x14ac:dyDescent="0.25">
      <c r="A145" s="6">
        <v>1</v>
      </c>
      <c r="B145">
        <f t="shared" ref="B145:B169" si="20">IF($J10="","",$J10-$C$141)</f>
        <v>-2</v>
      </c>
      <c r="C145">
        <f t="shared" ref="C145:C169" si="21">IF($K10="","",$K10-$D$141)</f>
        <v>-2</v>
      </c>
      <c r="D145">
        <f t="shared" ref="D145:D169" si="22">IF($B145="","",$B145*$B145)</f>
        <v>4</v>
      </c>
      <c r="E145">
        <f t="shared" ref="E145:E169" si="23">IF($C145="","",$C145*$C145)</f>
        <v>4</v>
      </c>
    </row>
    <row r="146" spans="1:5" x14ac:dyDescent="0.25">
      <c r="A146" s="6">
        <f t="shared" ref="A146:A169" si="24">IF($A145&lt;$D$36,$A145+1,"")</f>
        <v>2</v>
      </c>
      <c r="B146">
        <f t="shared" si="20"/>
        <v>-2</v>
      </c>
      <c r="C146">
        <f t="shared" si="21"/>
        <v>0</v>
      </c>
      <c r="D146">
        <f t="shared" si="22"/>
        <v>4</v>
      </c>
      <c r="E146">
        <f t="shared" si="23"/>
        <v>0</v>
      </c>
    </row>
    <row r="147" spans="1:5" x14ac:dyDescent="0.25">
      <c r="A147" s="6">
        <f t="shared" si="24"/>
        <v>3</v>
      </c>
      <c r="B147">
        <f t="shared" si="20"/>
        <v>-2</v>
      </c>
      <c r="C147">
        <f t="shared" si="21"/>
        <v>2</v>
      </c>
      <c r="D147">
        <f t="shared" si="22"/>
        <v>4</v>
      </c>
      <c r="E147">
        <f t="shared" si="23"/>
        <v>4</v>
      </c>
    </row>
    <row r="148" spans="1:5" x14ac:dyDescent="0.25">
      <c r="A148" s="6">
        <f t="shared" si="24"/>
        <v>4</v>
      </c>
      <c r="B148">
        <f t="shared" si="20"/>
        <v>0</v>
      </c>
      <c r="C148">
        <f t="shared" si="21"/>
        <v>-2</v>
      </c>
      <c r="D148">
        <f t="shared" si="22"/>
        <v>0</v>
      </c>
      <c r="E148">
        <f t="shared" si="23"/>
        <v>4</v>
      </c>
    </row>
    <row r="149" spans="1:5" x14ac:dyDescent="0.25">
      <c r="A149" s="6">
        <f t="shared" si="24"/>
        <v>5</v>
      </c>
      <c r="B149">
        <f t="shared" si="20"/>
        <v>0</v>
      </c>
      <c r="C149">
        <f t="shared" si="21"/>
        <v>2</v>
      </c>
      <c r="D149">
        <f t="shared" si="22"/>
        <v>0</v>
      </c>
      <c r="E149">
        <f t="shared" si="23"/>
        <v>4</v>
      </c>
    </row>
    <row r="150" spans="1:5" x14ac:dyDescent="0.25">
      <c r="A150" s="6">
        <f t="shared" si="24"/>
        <v>6</v>
      </c>
      <c r="B150">
        <f t="shared" si="20"/>
        <v>2</v>
      </c>
      <c r="C150">
        <f t="shared" si="21"/>
        <v>-2</v>
      </c>
      <c r="D150">
        <f t="shared" si="22"/>
        <v>4</v>
      </c>
      <c r="E150">
        <f t="shared" si="23"/>
        <v>4</v>
      </c>
    </row>
    <row r="151" spans="1:5" x14ac:dyDescent="0.25">
      <c r="A151" s="6">
        <f t="shared" si="24"/>
        <v>7</v>
      </c>
      <c r="B151">
        <f t="shared" si="20"/>
        <v>2</v>
      </c>
      <c r="C151">
        <f t="shared" si="21"/>
        <v>0</v>
      </c>
      <c r="D151">
        <f t="shared" si="22"/>
        <v>4</v>
      </c>
      <c r="E151">
        <f t="shared" si="23"/>
        <v>0</v>
      </c>
    </row>
    <row r="152" spans="1:5" x14ac:dyDescent="0.25">
      <c r="A152" s="6">
        <f t="shared" si="24"/>
        <v>8</v>
      </c>
      <c r="B152">
        <f t="shared" si="20"/>
        <v>2</v>
      </c>
      <c r="C152">
        <f t="shared" si="21"/>
        <v>2</v>
      </c>
      <c r="D152">
        <f t="shared" si="22"/>
        <v>4</v>
      </c>
      <c r="E152">
        <f t="shared" si="23"/>
        <v>4</v>
      </c>
    </row>
    <row r="153" spans="1:5" x14ac:dyDescent="0.25">
      <c r="A153" s="6" t="str">
        <f t="shared" si="24"/>
        <v/>
      </c>
      <c r="B153" t="str">
        <f t="shared" si="20"/>
        <v/>
      </c>
      <c r="C153" t="str">
        <f t="shared" si="21"/>
        <v/>
      </c>
      <c r="D153" t="str">
        <f t="shared" si="22"/>
        <v/>
      </c>
      <c r="E153" t="str">
        <f t="shared" si="23"/>
        <v/>
      </c>
    </row>
    <row r="154" spans="1:5" x14ac:dyDescent="0.25">
      <c r="A154" s="6" t="str">
        <f t="shared" si="24"/>
        <v/>
      </c>
      <c r="B154" t="str">
        <f t="shared" si="20"/>
        <v/>
      </c>
      <c r="C154" t="str">
        <f t="shared" si="21"/>
        <v/>
      </c>
      <c r="D154" t="str">
        <f t="shared" si="22"/>
        <v/>
      </c>
      <c r="E154" t="str">
        <f t="shared" si="23"/>
        <v/>
      </c>
    </row>
    <row r="155" spans="1:5" x14ac:dyDescent="0.25">
      <c r="A155" s="6" t="str">
        <f t="shared" si="24"/>
        <v/>
      </c>
      <c r="B155" t="str">
        <f t="shared" si="20"/>
        <v/>
      </c>
      <c r="C155" t="str">
        <f t="shared" si="21"/>
        <v/>
      </c>
      <c r="D155" t="str">
        <f t="shared" si="22"/>
        <v/>
      </c>
      <c r="E155" t="str">
        <f t="shared" si="23"/>
        <v/>
      </c>
    </row>
    <row r="156" spans="1:5" x14ac:dyDescent="0.25">
      <c r="A156" s="6" t="str">
        <f t="shared" si="24"/>
        <v/>
      </c>
      <c r="B156" t="str">
        <f t="shared" si="20"/>
        <v/>
      </c>
      <c r="C156" t="str">
        <f t="shared" si="21"/>
        <v/>
      </c>
      <c r="D156" t="str">
        <f t="shared" si="22"/>
        <v/>
      </c>
      <c r="E156" t="str">
        <f t="shared" si="23"/>
        <v/>
      </c>
    </row>
    <row r="157" spans="1:5" x14ac:dyDescent="0.25">
      <c r="A157" s="6" t="str">
        <f t="shared" si="24"/>
        <v/>
      </c>
      <c r="B157" t="str">
        <f t="shared" si="20"/>
        <v/>
      </c>
      <c r="C157" t="str">
        <f t="shared" si="21"/>
        <v/>
      </c>
      <c r="D157" t="str">
        <f t="shared" si="22"/>
        <v/>
      </c>
      <c r="E157" t="str">
        <f t="shared" si="23"/>
        <v/>
      </c>
    </row>
    <row r="158" spans="1:5" x14ac:dyDescent="0.25">
      <c r="A158" s="6" t="str">
        <f t="shared" si="24"/>
        <v/>
      </c>
      <c r="B158" t="str">
        <f t="shared" si="20"/>
        <v/>
      </c>
      <c r="C158" t="str">
        <f t="shared" si="21"/>
        <v/>
      </c>
      <c r="D158" t="str">
        <f t="shared" si="22"/>
        <v/>
      </c>
      <c r="E158" t="str">
        <f t="shared" si="23"/>
        <v/>
      </c>
    </row>
    <row r="159" spans="1:5" x14ac:dyDescent="0.25">
      <c r="A159" s="6" t="str">
        <f t="shared" si="24"/>
        <v/>
      </c>
      <c r="B159" t="str">
        <f t="shared" si="20"/>
        <v/>
      </c>
      <c r="C159" t="str">
        <f t="shared" si="21"/>
        <v/>
      </c>
      <c r="D159" t="str">
        <f t="shared" si="22"/>
        <v/>
      </c>
      <c r="E159" t="str">
        <f t="shared" si="23"/>
        <v/>
      </c>
    </row>
    <row r="160" spans="1:5" x14ac:dyDescent="0.25">
      <c r="A160" s="6" t="str">
        <f t="shared" si="24"/>
        <v/>
      </c>
      <c r="B160" t="str">
        <f t="shared" si="20"/>
        <v/>
      </c>
      <c r="C160" t="str">
        <f t="shared" si="21"/>
        <v/>
      </c>
      <c r="D160" t="str">
        <f t="shared" si="22"/>
        <v/>
      </c>
      <c r="E160" t="str">
        <f t="shared" si="23"/>
        <v/>
      </c>
    </row>
    <row r="161" spans="1:5" x14ac:dyDescent="0.25">
      <c r="A161" s="6" t="str">
        <f t="shared" si="24"/>
        <v/>
      </c>
      <c r="B161" t="str">
        <f t="shared" si="20"/>
        <v/>
      </c>
      <c r="C161" t="str">
        <f t="shared" si="21"/>
        <v/>
      </c>
      <c r="D161" t="str">
        <f t="shared" si="22"/>
        <v/>
      </c>
      <c r="E161" t="str">
        <f t="shared" si="23"/>
        <v/>
      </c>
    </row>
    <row r="162" spans="1:5" x14ac:dyDescent="0.25">
      <c r="A162" s="6" t="str">
        <f t="shared" si="24"/>
        <v/>
      </c>
      <c r="B162" t="str">
        <f t="shared" si="20"/>
        <v/>
      </c>
      <c r="C162" t="str">
        <f t="shared" si="21"/>
        <v/>
      </c>
      <c r="D162" t="str">
        <f t="shared" si="22"/>
        <v/>
      </c>
      <c r="E162" t="str">
        <f t="shared" si="23"/>
        <v/>
      </c>
    </row>
    <row r="163" spans="1:5" x14ac:dyDescent="0.25">
      <c r="A163" s="6" t="str">
        <f t="shared" si="24"/>
        <v/>
      </c>
      <c r="B163" t="str">
        <f t="shared" si="20"/>
        <v/>
      </c>
      <c r="C163" t="str">
        <f t="shared" si="21"/>
        <v/>
      </c>
      <c r="D163" t="str">
        <f t="shared" si="22"/>
        <v/>
      </c>
      <c r="E163" t="str">
        <f t="shared" si="23"/>
        <v/>
      </c>
    </row>
    <row r="164" spans="1:5" x14ac:dyDescent="0.25">
      <c r="A164" s="6" t="str">
        <f t="shared" si="24"/>
        <v/>
      </c>
      <c r="B164" t="str">
        <f t="shared" si="20"/>
        <v/>
      </c>
      <c r="C164" t="str">
        <f t="shared" si="21"/>
        <v/>
      </c>
      <c r="D164" t="str">
        <f t="shared" si="22"/>
        <v/>
      </c>
      <c r="E164" t="str">
        <f t="shared" si="23"/>
        <v/>
      </c>
    </row>
    <row r="165" spans="1:5" x14ac:dyDescent="0.25">
      <c r="A165" s="6" t="str">
        <f t="shared" si="24"/>
        <v/>
      </c>
      <c r="B165" t="str">
        <f t="shared" si="20"/>
        <v/>
      </c>
      <c r="C165" t="str">
        <f t="shared" si="21"/>
        <v/>
      </c>
      <c r="D165" t="str">
        <f t="shared" si="22"/>
        <v/>
      </c>
      <c r="E165" t="str">
        <f t="shared" si="23"/>
        <v/>
      </c>
    </row>
    <row r="166" spans="1:5" x14ac:dyDescent="0.25">
      <c r="A166" s="6" t="str">
        <f t="shared" si="24"/>
        <v/>
      </c>
      <c r="B166" t="str">
        <f t="shared" si="20"/>
        <v/>
      </c>
      <c r="C166" t="str">
        <f t="shared" si="21"/>
        <v/>
      </c>
      <c r="D166" t="str">
        <f t="shared" si="22"/>
        <v/>
      </c>
      <c r="E166" t="str">
        <f t="shared" si="23"/>
        <v/>
      </c>
    </row>
    <row r="167" spans="1:5" x14ac:dyDescent="0.25">
      <c r="A167" s="6" t="str">
        <f t="shared" si="24"/>
        <v/>
      </c>
      <c r="B167" t="str">
        <f t="shared" si="20"/>
        <v/>
      </c>
      <c r="C167" t="str">
        <f t="shared" si="21"/>
        <v/>
      </c>
      <c r="D167" t="str">
        <f t="shared" si="22"/>
        <v/>
      </c>
      <c r="E167" t="str">
        <f t="shared" si="23"/>
        <v/>
      </c>
    </row>
    <row r="168" spans="1:5" x14ac:dyDescent="0.25">
      <c r="A168" s="6" t="str">
        <f t="shared" si="24"/>
        <v/>
      </c>
      <c r="B168" t="str">
        <f t="shared" si="20"/>
        <v/>
      </c>
      <c r="C168" t="str">
        <f t="shared" si="21"/>
        <v/>
      </c>
      <c r="D168" t="str">
        <f t="shared" si="22"/>
        <v/>
      </c>
      <c r="E168" t="str">
        <f t="shared" si="23"/>
        <v/>
      </c>
    </row>
    <row r="169" spans="1:5" x14ac:dyDescent="0.25">
      <c r="A169" s="6" t="str">
        <f t="shared" si="24"/>
        <v/>
      </c>
      <c r="B169" t="str">
        <f t="shared" si="20"/>
        <v/>
      </c>
      <c r="C169" t="str">
        <f t="shared" si="21"/>
        <v/>
      </c>
      <c r="D169" t="str">
        <f t="shared" si="22"/>
        <v/>
      </c>
      <c r="E169" t="str">
        <f t="shared" si="23"/>
        <v/>
      </c>
    </row>
    <row r="170" spans="1:5" x14ac:dyDescent="0.25">
      <c r="C170" t="s">
        <v>44</v>
      </c>
      <c r="D170" s="5">
        <f>SUM(D145:D169)</f>
        <v>24</v>
      </c>
      <c r="E170" s="5">
        <f>SUM(E145:E169)</f>
        <v>24</v>
      </c>
    </row>
    <row r="173" spans="1:5" x14ac:dyDescent="0.25">
      <c r="A173" t="s">
        <v>46</v>
      </c>
    </row>
    <row r="174" spans="1:5" x14ac:dyDescent="0.25">
      <c r="A174" t="s">
        <v>48</v>
      </c>
    </row>
    <row r="175" spans="1:5" x14ac:dyDescent="0.25">
      <c r="A175" t="s">
        <v>47</v>
      </c>
      <c r="B175">
        <f>C141+C5*0.5</f>
        <v>2.25</v>
      </c>
      <c r="C175">
        <v>0</v>
      </c>
    </row>
    <row r="176" spans="1:5" x14ac:dyDescent="0.25">
      <c r="B176">
        <f>B175</f>
        <v>2.25</v>
      </c>
      <c r="C176">
        <f>MAX(K10:K34)+0.5</f>
        <v>4.5</v>
      </c>
    </row>
    <row r="177" spans="1:8" x14ac:dyDescent="0.25">
      <c r="A177" t="s">
        <v>49</v>
      </c>
      <c r="B177">
        <v>0</v>
      </c>
      <c r="C177">
        <f>D141+C6*0.5</f>
        <v>2.25</v>
      </c>
      <c r="F177" t="s">
        <v>100</v>
      </c>
    </row>
    <row r="178" spans="1:8" x14ac:dyDescent="0.25">
      <c r="B178">
        <f>MAX(J10:J34)+0.5</f>
        <v>4.5</v>
      </c>
      <c r="C178">
        <f>C177</f>
        <v>2.25</v>
      </c>
      <c r="F178" t="s">
        <v>101</v>
      </c>
      <c r="G178">
        <f>PI()/4</f>
        <v>0.78539816339744828</v>
      </c>
    </row>
    <row r="179" spans="1:8" x14ac:dyDescent="0.25">
      <c r="A179" t="s">
        <v>50</v>
      </c>
      <c r="B179">
        <f>C141+0.5*C5+D37/1000</f>
        <v>3.8</v>
      </c>
      <c r="C179">
        <f>0</f>
        <v>0</v>
      </c>
      <c r="D179">
        <v>0</v>
      </c>
      <c r="E179">
        <f>D141+0.5*C6+D37/1000</f>
        <v>3.8</v>
      </c>
      <c r="F179" t="s">
        <v>102</v>
      </c>
      <c r="G179">
        <f>0.5*C28+D37/1000</f>
        <v>1.885</v>
      </c>
    </row>
    <row r="180" spans="1:8" x14ac:dyDescent="0.25">
      <c r="B180">
        <f>B179</f>
        <v>3.8</v>
      </c>
      <c r="C180">
        <f>C176</f>
        <v>4.5</v>
      </c>
      <c r="D180">
        <f>MAX(J10:J34)+0.5</f>
        <v>4.5</v>
      </c>
      <c r="E180">
        <f>E179</f>
        <v>3.8</v>
      </c>
    </row>
    <row r="181" spans="1:8" x14ac:dyDescent="0.25">
      <c r="A181" t="s">
        <v>52</v>
      </c>
      <c r="B181">
        <f>C141-C5*0.5-D37/(2*1000)</f>
        <v>0.97499999999999998</v>
      </c>
      <c r="C181">
        <f>D141-C6*0.5-D37*0.5/1000</f>
        <v>0.97499999999999998</v>
      </c>
      <c r="F181" t="s">
        <v>105</v>
      </c>
      <c r="G181">
        <f>H184+G184/TAN(G178)</f>
        <v>5.334208280164674</v>
      </c>
    </row>
    <row r="182" spans="1:8" x14ac:dyDescent="0.25">
      <c r="B182">
        <f>B181</f>
        <v>0.97499999999999998</v>
      </c>
      <c r="C182">
        <f>D141+C6*0.5+D37*0.5/1000</f>
        <v>3.0249999999999999</v>
      </c>
      <c r="G182" t="s">
        <v>103</v>
      </c>
      <c r="H182" t="s">
        <v>104</v>
      </c>
    </row>
    <row r="183" spans="1:8" x14ac:dyDescent="0.25">
      <c r="B183">
        <f>B184</f>
        <v>3.0249999999999999</v>
      </c>
      <c r="C183">
        <f>C182</f>
        <v>3.0249999999999999</v>
      </c>
      <c r="G183">
        <f>-(MAX(K10:K34)-G181)*TAN(G178)</f>
        <v>1.3342082801646737</v>
      </c>
      <c r="H183">
        <f>MAX(K10:K34)</f>
        <v>4</v>
      </c>
    </row>
    <row r="184" spans="1:8" x14ac:dyDescent="0.25">
      <c r="B184">
        <f>C141+C5*0.5+D37/(2*1000)</f>
        <v>3.0249999999999999</v>
      </c>
      <c r="C184">
        <f>C181</f>
        <v>0.97499999999999998</v>
      </c>
      <c r="G184">
        <f>MAX(J10:J34)-G179*SIN(0.5*3.14-G178)</f>
        <v>2.6681655609947579</v>
      </c>
      <c r="H184">
        <f>MAX(K10:K34)-G179*COS(0.5*3.14-G178)</f>
        <v>2.6660427191699156</v>
      </c>
    </row>
    <row r="185" spans="1:8" x14ac:dyDescent="0.25">
      <c r="B185">
        <f>B181</f>
        <v>0.97499999999999998</v>
      </c>
      <c r="C185">
        <f>C181</f>
        <v>0.97499999999999998</v>
      </c>
      <c r="G185">
        <f>MAX(J10:J34)</f>
        <v>4</v>
      </c>
      <c r="H185">
        <f>-MAX(J10:J34)/TAN(G178)+G181</f>
        <v>1.3342082801646731</v>
      </c>
    </row>
  </sheetData>
  <mergeCells count="15">
    <mergeCell ref="J8:L8"/>
    <mergeCell ref="J46:L46"/>
    <mergeCell ref="N46:P46"/>
    <mergeCell ref="J63:L63"/>
    <mergeCell ref="H41:K41"/>
    <mergeCell ref="A94:C94"/>
    <mergeCell ref="A2:C2"/>
    <mergeCell ref="A3:C3"/>
    <mergeCell ref="A8:C8"/>
    <mergeCell ref="A17:C17"/>
    <mergeCell ref="A25:D25"/>
    <mergeCell ref="A37:B37"/>
    <mergeCell ref="A31:B31"/>
    <mergeCell ref="A32:B32"/>
    <mergeCell ref="A36:B36"/>
  </mergeCells>
  <dataValidations count="1">
    <dataValidation type="list" allowBlank="1" showInputMessage="1" showErrorMessage="1" sqref="E12">
      <formula1>"25,30,37,45,50,55"</formula1>
    </dataValidation>
  </dataValidations>
  <pageMargins left="1.5" right="0.8" top="1" bottom="1.25" header="0.31496062992126" footer="0.31496062992126"/>
  <pageSetup scale="91" pageOrder="overThenDown" orientation="portrait" r:id="rId1"/>
  <rowBreaks count="1" manualBreakCount="1">
    <brk id="44" max="16383" man="1"/>
  </rowBreaks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48"/>
  <sheetViews>
    <sheetView view="pageBreakPreview" topLeftCell="A19" zoomScale="60" zoomScaleNormal="100" workbookViewId="0">
      <selection activeCell="F24" sqref="F24"/>
    </sheetView>
  </sheetViews>
  <sheetFormatPr defaultRowHeight="15" x14ac:dyDescent="0.25"/>
  <cols>
    <col min="1" max="1" width="10.140625" customWidth="1"/>
    <col min="2" max="2" width="12.85546875" customWidth="1"/>
    <col min="3" max="3" width="20.28515625" customWidth="1"/>
    <col min="4" max="4" width="24" customWidth="1"/>
    <col min="5" max="5" width="15.7109375" customWidth="1"/>
    <col min="6" max="6" width="25.28515625" customWidth="1"/>
    <col min="7" max="7" width="14.7109375" bestFit="1" customWidth="1"/>
    <col min="8" max="8" width="19.42578125" customWidth="1"/>
    <col min="9" max="9" width="14.7109375" customWidth="1"/>
    <col min="10" max="10" width="14.5703125" customWidth="1"/>
    <col min="11" max="11" width="8.85546875" customWidth="1"/>
    <col min="17" max="17" width="8.85546875" customWidth="1"/>
  </cols>
  <sheetData>
    <row r="1" spans="1:19" ht="18.75" x14ac:dyDescent="0.3">
      <c r="A1" s="49" t="s">
        <v>125</v>
      </c>
      <c r="B1" s="50"/>
      <c r="C1" s="50"/>
      <c r="D1" s="50"/>
      <c r="E1" s="50"/>
    </row>
    <row r="2" spans="1:19" ht="18.75" x14ac:dyDescent="0.3">
      <c r="A2" s="52" t="s">
        <v>54</v>
      </c>
      <c r="B2" s="52"/>
      <c r="C2" s="52"/>
      <c r="D2" s="15"/>
      <c r="E2" s="15"/>
      <c r="F2" s="2" t="s">
        <v>60</v>
      </c>
      <c r="G2" s="3"/>
      <c r="H2" s="3"/>
      <c r="I2" s="3"/>
      <c r="J2" s="17"/>
      <c r="K2" s="15"/>
      <c r="L2" s="15"/>
      <c r="M2" s="15"/>
      <c r="N2" s="15"/>
      <c r="O2" s="15"/>
      <c r="P2" s="15"/>
    </row>
    <row r="3" spans="1:19" ht="15.75" x14ac:dyDescent="0.25">
      <c r="A3" s="46" t="s">
        <v>122</v>
      </c>
      <c r="B3" s="46"/>
      <c r="C3" s="3" t="s">
        <v>2</v>
      </c>
      <c r="D3" s="35">
        <f>MAX(REACTIONS!J10:J34)+REACTIONS!C28+0.3</f>
        <v>4.97</v>
      </c>
      <c r="E3" s="15"/>
      <c r="F3" s="37" t="s">
        <v>61</v>
      </c>
      <c r="G3" s="3"/>
      <c r="H3" s="3"/>
      <c r="I3" s="3"/>
      <c r="J3" s="4"/>
      <c r="K3" s="15"/>
      <c r="L3" s="15"/>
      <c r="M3" s="15"/>
      <c r="N3" s="15"/>
      <c r="O3" s="15"/>
      <c r="P3" s="15"/>
    </row>
    <row r="4" spans="1:19" ht="20.25" x14ac:dyDescent="0.35">
      <c r="A4" s="46" t="s">
        <v>123</v>
      </c>
      <c r="B4" s="46"/>
      <c r="C4" s="3" t="s">
        <v>2</v>
      </c>
      <c r="D4" s="35">
        <f>MAX(REACTIONS!K10:K34)+REACTIONS!C28+0.3</f>
        <v>4.97</v>
      </c>
      <c r="E4" s="15"/>
      <c r="F4" s="3" t="s">
        <v>134</v>
      </c>
      <c r="G4" s="3" t="s">
        <v>135</v>
      </c>
      <c r="H4" s="3" t="s">
        <v>136</v>
      </c>
      <c r="I4" s="3" t="s">
        <v>62</v>
      </c>
      <c r="J4" s="15"/>
      <c r="K4" s="15"/>
      <c r="L4" s="15"/>
      <c r="M4" s="15"/>
      <c r="N4" s="15"/>
      <c r="O4" s="15"/>
      <c r="P4" s="15"/>
    </row>
    <row r="5" spans="1:19" x14ac:dyDescent="0.25">
      <c r="A5" s="46" t="s">
        <v>77</v>
      </c>
      <c r="B5" s="46"/>
      <c r="C5" s="3"/>
      <c r="D5" s="3"/>
      <c r="E5" s="15"/>
      <c r="F5" s="3">
        <f>0.5*(REACTIONS!E12/REACTIONS!E10)*REACTIONS!D37*'design(is 456)'!D7*1000*(1-SQRT(1-(4.6*REACTIONS!D78*1000000)/(REACTIONS!E12*'design(is 456)'!D7*1000*REACTIONS!D37*REACTIONS!D37)))</f>
        <v>6013.2454203999005</v>
      </c>
      <c r="G5" s="3">
        <f>PI()*0.25*D14*D14</f>
        <v>314.15926535897933</v>
      </c>
      <c r="H5" s="35">
        <f>IF(G8&gt;F5,ROUNDUP(G8/G5,0),ROUNDUP(F5/G5,0))</f>
        <v>30</v>
      </c>
      <c r="I5" s="35">
        <f>IF(ROUNDDOWN((D7*1000-0.3-REACTIONS!C28)/(H5-1),-1)&lt;450,ROUNDDOWN((D7*1000-0.3-REACTIONS!C28)/(H5-1),-1),450)</f>
        <v>170</v>
      </c>
      <c r="J5" s="15"/>
      <c r="K5" s="15"/>
      <c r="L5" s="15"/>
      <c r="M5" s="15"/>
      <c r="N5" s="15"/>
      <c r="O5" s="15"/>
      <c r="P5" s="15"/>
    </row>
    <row r="6" spans="1:19" ht="15.75" customHeight="1" x14ac:dyDescent="0.25">
      <c r="A6" s="46" t="s">
        <v>122</v>
      </c>
      <c r="B6" s="46"/>
      <c r="C6" s="3" t="s">
        <v>2</v>
      </c>
      <c r="D6" s="35">
        <f>ROUNDUP(D3,1)</f>
        <v>5</v>
      </c>
      <c r="E6" s="15"/>
      <c r="F6" s="3"/>
      <c r="G6" s="3"/>
      <c r="H6" s="3"/>
      <c r="I6" s="3"/>
      <c r="J6" s="15"/>
      <c r="K6" s="15"/>
      <c r="L6" s="15"/>
      <c r="M6" s="15"/>
      <c r="N6" s="15"/>
      <c r="O6" s="15"/>
      <c r="P6" s="15"/>
    </row>
    <row r="7" spans="1:19" ht="18.75" customHeight="1" x14ac:dyDescent="0.25">
      <c r="A7" s="52" t="s">
        <v>123</v>
      </c>
      <c r="B7" s="52"/>
      <c r="C7" s="3" t="s">
        <v>2</v>
      </c>
      <c r="D7" s="35">
        <f>ROUNDUP(D4,1)</f>
        <v>5</v>
      </c>
      <c r="E7" s="15"/>
      <c r="F7" s="3" t="s">
        <v>137</v>
      </c>
      <c r="G7" s="3" t="s">
        <v>98</v>
      </c>
      <c r="H7" s="3"/>
      <c r="I7" s="3"/>
      <c r="J7" s="15"/>
      <c r="K7" s="15"/>
      <c r="L7" s="15"/>
      <c r="M7" s="15"/>
      <c r="N7" s="15"/>
      <c r="O7" s="18"/>
      <c r="P7" s="18"/>
      <c r="Q7" s="13"/>
      <c r="R7" s="13"/>
      <c r="S7" s="13"/>
    </row>
    <row r="8" spans="1:19" ht="15.75" x14ac:dyDescent="0.25">
      <c r="A8" s="52" t="s">
        <v>124</v>
      </c>
      <c r="B8" s="52"/>
      <c r="C8" s="3" t="s">
        <v>2</v>
      </c>
      <c r="D8" s="3">
        <f>ROUNDUP((REACTIONS!D37+75)/1000,1)*1000</f>
        <v>1700.0000000000002</v>
      </c>
      <c r="E8" s="15"/>
      <c r="F8" s="3">
        <f>H5*G5</f>
        <v>9424.7779607693792</v>
      </c>
      <c r="G8" s="3">
        <f>0.12*D7*10*REACTIONS!D37</f>
        <v>9300</v>
      </c>
      <c r="H8" s="51" t="str">
        <f>IF(G8&gt;F5," MINIMUM STEEL is provided","")</f>
        <v xml:space="preserve"> MINIMUM STEEL is provided</v>
      </c>
      <c r="I8" s="51"/>
      <c r="J8" s="15"/>
      <c r="K8" s="15"/>
      <c r="L8" s="15"/>
      <c r="M8" s="15"/>
      <c r="N8" s="15"/>
      <c r="O8" s="18"/>
      <c r="P8" s="18"/>
      <c r="Q8" s="13"/>
      <c r="R8" s="13"/>
      <c r="S8" s="13"/>
    </row>
    <row r="9" spans="1:19" ht="15.75" x14ac:dyDescent="0.25">
      <c r="A9" s="12" t="s">
        <v>121</v>
      </c>
      <c r="B9" s="12"/>
      <c r="C9" s="3"/>
      <c r="D9" s="3"/>
      <c r="E9" s="15"/>
      <c r="F9" s="3"/>
      <c r="G9" s="3"/>
      <c r="H9" s="3"/>
      <c r="I9" s="3"/>
      <c r="J9" s="15"/>
      <c r="K9" s="15"/>
      <c r="L9" s="15"/>
      <c r="M9" s="15"/>
      <c r="N9" s="15"/>
      <c r="O9" s="15"/>
      <c r="P9" s="18"/>
      <c r="Q9" s="13"/>
      <c r="R9" s="13"/>
      <c r="S9" s="13"/>
    </row>
    <row r="10" spans="1:19" ht="15.75" x14ac:dyDescent="0.25">
      <c r="A10" s="12"/>
      <c r="B10" s="12"/>
      <c r="C10" s="3"/>
      <c r="D10" s="3"/>
      <c r="E10" s="15"/>
      <c r="F10" s="37" t="s">
        <v>63</v>
      </c>
      <c r="G10" s="3"/>
      <c r="H10" s="3"/>
      <c r="I10" s="3"/>
      <c r="J10" s="4"/>
      <c r="K10" s="15"/>
      <c r="L10" s="15"/>
      <c r="M10" s="15"/>
      <c r="N10" s="15"/>
      <c r="O10" s="15"/>
      <c r="P10" s="18"/>
      <c r="Q10" s="13"/>
      <c r="R10" s="13"/>
      <c r="S10" s="13"/>
    </row>
    <row r="11" spans="1:19" ht="20.25" x14ac:dyDescent="0.35">
      <c r="A11" s="52" t="s">
        <v>79</v>
      </c>
      <c r="B11" s="52"/>
      <c r="C11" s="3" t="s">
        <v>2</v>
      </c>
      <c r="D11" s="35">
        <f>IF(REACTIONS!D78&gt;REACTIONS!H78,SQRT(REACTIONS!E80*10^(6)/(0.138*REACTIONS!E12*'design(is 456)'!D7*1000)),SQRT(REACTIONS!E80*10^(6)/(0.138*REACTIONS!E12*'design(is 456)'!D6*1000)))</f>
        <v>439.58698226385792</v>
      </c>
      <c r="E11" s="15"/>
      <c r="F11" s="3" t="s">
        <v>134</v>
      </c>
      <c r="G11" s="3" t="s">
        <v>135</v>
      </c>
      <c r="H11" s="3" t="s">
        <v>136</v>
      </c>
      <c r="I11" s="3" t="s">
        <v>62</v>
      </c>
      <c r="J11" s="15"/>
      <c r="K11" s="15"/>
      <c r="L11" s="15"/>
      <c r="M11" s="15"/>
      <c r="N11" s="15"/>
      <c r="O11" s="15"/>
      <c r="P11" s="15"/>
    </row>
    <row r="12" spans="1:19" x14ac:dyDescent="0.25">
      <c r="A12" s="46" t="s">
        <v>80</v>
      </c>
      <c r="B12" s="46"/>
      <c r="C12" s="3" t="s">
        <v>2</v>
      </c>
      <c r="D12" s="35">
        <f>ROUND(0.87*REACTIONS!E10*REACTIONS!C7/(4*VLOOKUP(REACTIONS!E12,'reference-456'!A6:B9,2)*1.6*1.25),0)</f>
        <v>725</v>
      </c>
      <c r="E12" s="15"/>
      <c r="F12" s="3">
        <f>0.5*(REACTIONS!E12/REACTIONS!E10)*REACTIONS!D37*D6*1000*(1-SQRT(1-(4.6*REACTIONS!H78*1000000)/(REACTIONS!E12*D6*1000*REACTIONS!D37*REACTIONS!D37)))</f>
        <v>6013.2454203999005</v>
      </c>
      <c r="G12" s="3">
        <f>G5</f>
        <v>314.15926535897933</v>
      </c>
      <c r="H12" s="35">
        <f>IF(G15&gt;F12,ROUNDUP(G15/G5,0),ROUNDUP(F12/G5,0))</f>
        <v>30</v>
      </c>
      <c r="I12" s="35">
        <f>IF(ROUNDDOWN((D6*1000-0.3-REACTIONS!C28)/(H12-1),-1)&lt;450,ROUNDDOWN((D6*1000-0.3-REACTIONS!C28)/(H12-1),-1),450)</f>
        <v>170</v>
      </c>
      <c r="J12" s="15"/>
      <c r="K12" s="15"/>
      <c r="L12" s="15"/>
      <c r="M12" s="15"/>
      <c r="N12" s="15"/>
      <c r="O12" s="15"/>
      <c r="P12" s="15"/>
    </row>
    <row r="13" spans="1:19" ht="17.45" customHeight="1" x14ac:dyDescent="0.25">
      <c r="A13" s="53" t="str">
        <f>IF(MAX(D11,D12)&lt;REACTIONS!D37," Assumed depth is  ok","Assumed depth is  not ok")</f>
        <v xml:space="preserve"> Assumed depth is  ok</v>
      </c>
      <c r="B13" s="53"/>
      <c r="C13" s="53"/>
      <c r="D13" s="53"/>
      <c r="E13" s="15"/>
      <c r="F13" s="3"/>
      <c r="G13" s="3"/>
      <c r="H13" s="3"/>
      <c r="I13" s="3"/>
      <c r="J13" s="19"/>
      <c r="K13" s="15"/>
      <c r="L13" s="15"/>
      <c r="M13" s="15"/>
      <c r="N13" s="15"/>
      <c r="O13" s="15"/>
      <c r="P13" s="15"/>
    </row>
    <row r="14" spans="1:19" ht="21.6" customHeight="1" x14ac:dyDescent="0.25">
      <c r="A14" s="53" t="s">
        <v>84</v>
      </c>
      <c r="B14" s="53"/>
      <c r="C14" s="53"/>
      <c r="D14" s="36">
        <v>20</v>
      </c>
      <c r="E14" s="15"/>
      <c r="F14" s="3" t="s">
        <v>137</v>
      </c>
      <c r="G14" s="3" t="s">
        <v>98</v>
      </c>
      <c r="H14" s="3"/>
      <c r="I14" s="3"/>
      <c r="J14" s="19"/>
      <c r="K14" s="15"/>
      <c r="L14" s="15"/>
      <c r="M14" s="15"/>
      <c r="N14" s="15"/>
      <c r="O14" s="15"/>
      <c r="P14" s="15"/>
    </row>
    <row r="15" spans="1:19" ht="15.75" x14ac:dyDescent="0.25">
      <c r="A15" s="4"/>
      <c r="B15" s="4"/>
      <c r="C15" s="15"/>
      <c r="D15" s="15"/>
      <c r="E15" s="15"/>
      <c r="F15" s="3">
        <f>H12*G12</f>
        <v>9424.7779607693792</v>
      </c>
      <c r="G15" s="3">
        <f>0.12*10*D6*REACTIONS!D37</f>
        <v>9300</v>
      </c>
      <c r="H15" s="51" t="str">
        <f>IF(G15&gt;F12," MINIMUM STEEL is provided","")</f>
        <v xml:space="preserve"> MINIMUM STEEL is provided</v>
      </c>
      <c r="I15" s="51"/>
      <c r="J15" s="19"/>
      <c r="K15" s="15"/>
      <c r="L15" s="15"/>
      <c r="M15" s="15"/>
      <c r="N15" s="15"/>
      <c r="O15" s="15"/>
      <c r="P15" s="15"/>
    </row>
    <row r="16" spans="1:19" ht="15.75" x14ac:dyDescent="0.25">
      <c r="A16" s="4"/>
      <c r="B16" s="4"/>
      <c r="C16" s="15"/>
      <c r="D16" s="15"/>
      <c r="E16" s="15"/>
      <c r="F16" s="3"/>
      <c r="G16" s="3"/>
      <c r="H16" s="3"/>
      <c r="I16" s="3"/>
      <c r="J16" s="15"/>
      <c r="K16" s="15"/>
      <c r="L16" s="15"/>
      <c r="M16" s="15"/>
      <c r="N16" s="15"/>
      <c r="O16" s="15"/>
      <c r="P16" s="15"/>
    </row>
    <row r="17" spans="1:19" ht="18.75" x14ac:dyDescent="0.3">
      <c r="A17" s="4"/>
      <c r="B17" s="4"/>
      <c r="C17" s="15"/>
      <c r="D17" s="15"/>
      <c r="E17" s="15"/>
      <c r="F17" s="2" t="s">
        <v>64</v>
      </c>
      <c r="G17" s="3"/>
      <c r="H17" s="3"/>
      <c r="I17" s="3"/>
      <c r="J17" s="15"/>
      <c r="K17" s="15"/>
      <c r="L17" s="15"/>
      <c r="M17" s="20"/>
      <c r="N17" s="15"/>
      <c r="O17" s="15"/>
      <c r="P17" s="15"/>
    </row>
    <row r="18" spans="1:19" ht="15.75" x14ac:dyDescent="0.25">
      <c r="A18" s="4"/>
      <c r="B18" s="4"/>
      <c r="C18" s="15"/>
      <c r="D18" s="15"/>
      <c r="E18" s="15"/>
      <c r="F18" s="37" t="s">
        <v>65</v>
      </c>
      <c r="G18" s="3"/>
      <c r="H18" s="3"/>
      <c r="I18" s="3"/>
      <c r="J18" s="15"/>
      <c r="K18" s="15"/>
      <c r="L18" s="15"/>
      <c r="M18" s="15"/>
      <c r="N18" s="15"/>
      <c r="O18" s="15"/>
      <c r="P18" s="15"/>
    </row>
    <row r="19" spans="1:19" ht="18.75" x14ac:dyDescent="0.3">
      <c r="A19" s="4"/>
      <c r="B19" s="4"/>
      <c r="C19" s="15"/>
      <c r="D19" s="15"/>
      <c r="E19" s="15"/>
      <c r="F19" s="3" t="s">
        <v>66</v>
      </c>
      <c r="G19" s="3">
        <f>F8/(D7*1000*REACTIONS!D37)*100</f>
        <v>0.12161003820347585</v>
      </c>
      <c r="H19" s="3"/>
      <c r="I19" s="3"/>
      <c r="J19" s="15"/>
      <c r="K19" s="21"/>
      <c r="L19" s="21"/>
      <c r="M19" s="21"/>
      <c r="N19" s="21"/>
      <c r="O19" s="21"/>
      <c r="P19" s="15"/>
    </row>
    <row r="20" spans="1:19" ht="20.25" x14ac:dyDescent="0.35">
      <c r="A20" s="4"/>
      <c r="B20" s="4"/>
      <c r="C20" s="15"/>
      <c r="D20" s="15"/>
      <c r="E20" s="15"/>
      <c r="F20" s="3" t="s">
        <v>138</v>
      </c>
      <c r="G20" s="3">
        <f>IF(G19&lt;0.15,'reference-456'!G21,IF(G19&lt;3,'reference-456'!D22,'reference-456'!J21))</f>
        <v>0.28000000000000003</v>
      </c>
      <c r="H20" s="3"/>
      <c r="I20" s="3"/>
      <c r="J20" s="15"/>
      <c r="K20" s="15"/>
      <c r="L20" s="15"/>
      <c r="M20" s="15"/>
      <c r="N20" s="15"/>
      <c r="O20" s="15"/>
      <c r="P20" s="15"/>
    </row>
    <row r="21" spans="1:19" ht="20.25" x14ac:dyDescent="0.35">
      <c r="A21" s="4"/>
      <c r="B21" s="4"/>
      <c r="C21" s="15"/>
      <c r="D21" s="15"/>
      <c r="E21" s="15"/>
      <c r="F21" s="3" t="s">
        <v>139</v>
      </c>
      <c r="G21" s="3">
        <f>REACTIONS!K62*1000/(REACTIONS!D37*D7*1000)</f>
        <v>0.25806451612903225</v>
      </c>
      <c r="H21" s="35" t="str">
        <f>IF(G21&lt;G20,"OK","NOT OK")</f>
        <v>OK</v>
      </c>
      <c r="I21" s="3"/>
      <c r="J21" s="15"/>
      <c r="K21" s="15"/>
      <c r="L21" s="15"/>
      <c r="M21" s="15"/>
      <c r="N21" s="15"/>
      <c r="O21" s="15"/>
      <c r="P21" s="15"/>
    </row>
    <row r="22" spans="1:19" ht="15.75" x14ac:dyDescent="0.25">
      <c r="A22" s="4"/>
      <c r="B22" s="4"/>
      <c r="C22" s="15"/>
      <c r="D22" s="15"/>
      <c r="E22" s="15"/>
      <c r="F22" s="3"/>
      <c r="G22" s="3"/>
      <c r="H22" s="3"/>
      <c r="I22" s="3"/>
      <c r="J22" s="15"/>
      <c r="K22" s="15"/>
      <c r="L22" s="15"/>
      <c r="M22" s="15"/>
      <c r="N22" s="15"/>
      <c r="O22" s="15"/>
      <c r="P22" s="15"/>
    </row>
    <row r="23" spans="1:19" ht="15.75" x14ac:dyDescent="0.25">
      <c r="A23" s="4"/>
      <c r="B23" s="4"/>
      <c r="C23" s="15"/>
      <c r="D23" s="15"/>
      <c r="E23" s="15"/>
      <c r="F23" s="37" t="s">
        <v>67</v>
      </c>
      <c r="G23" s="3"/>
      <c r="H23" s="3"/>
      <c r="I23" s="3"/>
      <c r="J23" s="15"/>
      <c r="K23" s="15"/>
      <c r="L23" s="15"/>
      <c r="M23" s="15"/>
      <c r="N23" s="15"/>
      <c r="O23" s="15"/>
      <c r="P23" s="15"/>
    </row>
    <row r="24" spans="1:19" ht="18.75" customHeight="1" x14ac:dyDescent="0.25">
      <c r="A24" s="4"/>
      <c r="B24" s="4"/>
      <c r="C24" s="15"/>
      <c r="D24" s="15"/>
      <c r="E24" s="15"/>
      <c r="F24" s="3" t="s">
        <v>66</v>
      </c>
      <c r="G24" s="3">
        <f>F15/(D6*1000*REACTIONS!D37)*100</f>
        <v>0.12161003820347585</v>
      </c>
      <c r="H24" s="3"/>
      <c r="I24" s="3"/>
      <c r="J24" s="15"/>
      <c r="K24" s="15"/>
      <c r="L24" s="15"/>
      <c r="M24" s="15"/>
      <c r="N24" s="15"/>
      <c r="O24" s="15"/>
      <c r="P24" s="18"/>
      <c r="Q24" s="13"/>
      <c r="R24" s="13"/>
      <c r="S24" s="13"/>
    </row>
    <row r="25" spans="1:19" ht="20.25" x14ac:dyDescent="0.35">
      <c r="A25" s="4"/>
      <c r="B25" s="4"/>
      <c r="C25" s="15"/>
      <c r="D25" s="15"/>
      <c r="E25" s="15"/>
      <c r="F25" s="3" t="s">
        <v>138</v>
      </c>
      <c r="G25" s="3">
        <f>IF(G24&lt;0.15,'reference-456'!G21,IF(G24&lt;3,'reference-456'!D22,'reference-456'!J21))</f>
        <v>0.28000000000000003</v>
      </c>
      <c r="H25" s="3"/>
      <c r="I25" s="3"/>
      <c r="J25" s="15"/>
      <c r="K25" s="15"/>
      <c r="L25" s="15"/>
      <c r="M25" s="15"/>
      <c r="N25" s="15"/>
      <c r="O25" s="15"/>
      <c r="P25" s="18"/>
      <c r="Q25" s="13"/>
      <c r="R25" s="13"/>
      <c r="S25" s="13"/>
    </row>
    <row r="26" spans="1:19" ht="19.5" customHeight="1" x14ac:dyDescent="0.35">
      <c r="A26" s="4"/>
      <c r="B26" s="4"/>
      <c r="C26" s="15"/>
      <c r="D26" s="15"/>
      <c r="E26" s="15"/>
      <c r="F26" s="3" t="s">
        <v>139</v>
      </c>
      <c r="G26" s="3">
        <f>REACTIONS!K79*1000/(REACTIONS!D37*D6*1000)</f>
        <v>0.25806451612903225</v>
      </c>
      <c r="H26" s="35" t="str">
        <f>IF(G26&lt;G25,"OK","NOT OK")</f>
        <v>OK</v>
      </c>
      <c r="I26" s="3"/>
      <c r="J26" s="15"/>
      <c r="K26" s="15"/>
      <c r="L26" s="15"/>
      <c r="M26" s="15"/>
      <c r="N26" s="15"/>
      <c r="O26" s="15"/>
      <c r="P26" s="15"/>
      <c r="Q26" s="13"/>
      <c r="R26" s="13"/>
      <c r="S26" s="13"/>
    </row>
    <row r="27" spans="1:19" ht="15.75" x14ac:dyDescent="0.25">
      <c r="A27" s="4"/>
      <c r="B27" s="4"/>
      <c r="C27" s="15"/>
      <c r="D27" s="15"/>
      <c r="E27" s="15"/>
      <c r="F27" s="3"/>
      <c r="G27" s="3"/>
      <c r="H27" s="3"/>
      <c r="I27" s="3"/>
      <c r="J27" s="15"/>
      <c r="K27" s="15"/>
      <c r="L27" s="15"/>
      <c r="M27" s="15"/>
      <c r="N27" s="15"/>
      <c r="O27" s="15"/>
      <c r="P27" s="15"/>
      <c r="Q27" s="13"/>
      <c r="R27" s="13"/>
      <c r="S27" s="13"/>
    </row>
    <row r="28" spans="1:19" ht="15.75" x14ac:dyDescent="0.25">
      <c r="A28" s="4"/>
      <c r="B28" s="4"/>
      <c r="C28" s="15"/>
      <c r="D28" s="15"/>
      <c r="E28" s="15"/>
      <c r="F28" s="37" t="s">
        <v>106</v>
      </c>
      <c r="G28" s="3"/>
      <c r="H28" s="3"/>
      <c r="I28" s="3"/>
      <c r="J28" s="15"/>
      <c r="K28" s="15"/>
      <c r="L28" s="15"/>
      <c r="M28" s="15"/>
      <c r="N28" s="15"/>
      <c r="O28" s="15"/>
      <c r="P28" s="15"/>
      <c r="Q28" s="13"/>
      <c r="R28" s="13"/>
      <c r="S28" s="13"/>
    </row>
    <row r="29" spans="1:19" ht="15.75" x14ac:dyDescent="0.25">
      <c r="A29" s="4"/>
      <c r="B29" s="4"/>
      <c r="C29" s="15"/>
      <c r="D29" s="15"/>
      <c r="E29" s="15"/>
      <c r="F29" s="3" t="s">
        <v>66</v>
      </c>
      <c r="G29" s="3">
        <f>0.12</f>
        <v>0.12</v>
      </c>
      <c r="H29" s="3"/>
      <c r="I29" s="3"/>
      <c r="J29" s="15"/>
      <c r="K29" s="15"/>
      <c r="L29" s="15"/>
      <c r="M29" s="15"/>
      <c r="N29" s="15"/>
      <c r="O29" s="15"/>
      <c r="P29" s="15"/>
      <c r="Q29" s="13"/>
      <c r="R29" s="13"/>
      <c r="S29" s="13"/>
    </row>
    <row r="30" spans="1:19" ht="15.75" x14ac:dyDescent="0.25">
      <c r="A30" s="4"/>
      <c r="B30" s="4"/>
      <c r="C30" s="15"/>
      <c r="D30" s="15"/>
      <c r="E30" s="15"/>
      <c r="F30" s="3" t="s">
        <v>107</v>
      </c>
      <c r="G30" s="3">
        <f>IF(G29&lt;0.15,'reference-456'!G21,IF(G29&lt;3,'reference-456'!D22,'reference-456'!J21))</f>
        <v>0.28000000000000003</v>
      </c>
      <c r="H30" s="3"/>
      <c r="I30" s="3"/>
      <c r="J30" s="15"/>
      <c r="K30" s="15"/>
      <c r="L30" s="15"/>
      <c r="M30" s="15"/>
      <c r="N30" s="15"/>
      <c r="O30" s="15"/>
      <c r="P30" s="15"/>
      <c r="Q30" s="13"/>
      <c r="R30" s="13"/>
      <c r="S30" s="13"/>
    </row>
    <row r="31" spans="1:19" ht="15.75" x14ac:dyDescent="0.25">
      <c r="A31" s="4"/>
      <c r="B31" s="4"/>
      <c r="C31" s="15"/>
      <c r="D31" s="15"/>
      <c r="E31" s="15"/>
      <c r="F31" s="3" t="s">
        <v>109</v>
      </c>
      <c r="G31" s="3">
        <f>SQRT((REACTIONS!G183-REACTIONS!G185)^2+(REACTIONS!H183-REACTIONS!H185)^2)+2*((0.5*REACTIONS!C28+0.15)/0.7)</f>
        <v>5.1557130903673025</v>
      </c>
      <c r="H31" s="3"/>
      <c r="I31" s="3"/>
      <c r="J31" s="15"/>
      <c r="K31" s="15"/>
      <c r="L31" s="15"/>
      <c r="M31" s="15"/>
      <c r="N31" s="15"/>
      <c r="O31" s="15"/>
      <c r="P31" s="15"/>
      <c r="Q31" s="13"/>
      <c r="R31" s="13"/>
      <c r="S31" s="13"/>
    </row>
    <row r="32" spans="1:19" ht="15.75" x14ac:dyDescent="0.25">
      <c r="A32" s="4"/>
      <c r="B32" s="4"/>
      <c r="C32" s="15"/>
      <c r="D32" s="15"/>
      <c r="E32" s="15"/>
      <c r="F32" s="3" t="s">
        <v>108</v>
      </c>
      <c r="G32" s="3">
        <f>1000*REACTIONS!B110/('design(is 456)'!G31*1000*REACTIONS!D37)</f>
        <v>0.25548440690702373</v>
      </c>
      <c r="H32" s="35" t="str">
        <f>IF(G32&lt;G30,"OK","NOT OK")</f>
        <v>OK</v>
      </c>
      <c r="I32" s="3"/>
      <c r="J32" s="15"/>
      <c r="K32" s="15"/>
      <c r="L32" s="15"/>
      <c r="M32" s="15"/>
      <c r="N32" s="15"/>
      <c r="O32" s="15"/>
      <c r="P32" s="15"/>
      <c r="Q32" s="13"/>
      <c r="R32" s="13"/>
      <c r="S32" s="13"/>
    </row>
    <row r="33" spans="1:19" ht="15.75" x14ac:dyDescent="0.25">
      <c r="A33" s="15"/>
      <c r="B33" s="4"/>
      <c r="C33" s="15"/>
      <c r="D33" s="15"/>
      <c r="E33" s="15"/>
      <c r="F33" s="3"/>
      <c r="G33" s="3"/>
      <c r="H33" s="3"/>
      <c r="I33" s="3"/>
      <c r="J33" s="15"/>
      <c r="K33" s="15"/>
      <c r="L33" s="15"/>
      <c r="M33" s="15"/>
      <c r="N33" s="15"/>
      <c r="O33" s="15"/>
      <c r="P33" s="15"/>
      <c r="Q33" s="13"/>
      <c r="R33" s="13"/>
      <c r="S33" s="13"/>
    </row>
    <row r="34" spans="1:19" ht="18.75" x14ac:dyDescent="0.3">
      <c r="A34" s="16"/>
      <c r="B34" s="4"/>
      <c r="C34" s="15"/>
      <c r="D34" s="15"/>
      <c r="E34" s="15"/>
      <c r="F34" s="2" t="s">
        <v>68</v>
      </c>
      <c r="G34" s="3"/>
      <c r="H34" s="3"/>
      <c r="I34" s="3"/>
      <c r="J34" s="15"/>
      <c r="K34" s="15"/>
      <c r="L34" s="15"/>
      <c r="M34" s="15"/>
      <c r="N34" s="15"/>
      <c r="O34" s="15"/>
      <c r="P34" s="15"/>
    </row>
    <row r="35" spans="1:19" ht="18.75" x14ac:dyDescent="0.3">
      <c r="A35" s="16"/>
      <c r="B35" s="4"/>
      <c r="C35" s="15"/>
      <c r="D35" s="15"/>
      <c r="E35" s="15"/>
      <c r="F35" s="37" t="s">
        <v>110</v>
      </c>
      <c r="G35" s="3"/>
      <c r="H35" s="3"/>
      <c r="I35" s="3"/>
      <c r="J35" s="15"/>
      <c r="K35" s="15"/>
      <c r="L35" s="15"/>
      <c r="M35" s="15"/>
      <c r="N35" s="15"/>
      <c r="O35" s="15"/>
      <c r="P35" s="15"/>
    </row>
    <row r="36" spans="1:19" ht="15.75" x14ac:dyDescent="0.25">
      <c r="A36" s="4"/>
      <c r="B36" s="4"/>
      <c r="C36" s="15"/>
      <c r="D36" s="15"/>
      <c r="E36" s="15"/>
      <c r="F36" s="3" t="s">
        <v>69</v>
      </c>
      <c r="G36" s="3">
        <f>2*(REACTIONS!C5*1000+REACTIONS!D37+REACTIONS!D37+REACTIONS!C6*1000)</f>
        <v>8200</v>
      </c>
      <c r="H36" s="3"/>
      <c r="I36" s="3"/>
      <c r="J36" s="15"/>
      <c r="K36" s="15"/>
      <c r="L36" s="15"/>
      <c r="M36" s="15"/>
      <c r="N36" s="15"/>
      <c r="O36" s="15"/>
      <c r="P36" s="15"/>
    </row>
    <row r="37" spans="1:19" ht="18.75" x14ac:dyDescent="0.25">
      <c r="A37" s="4"/>
      <c r="B37" s="4"/>
      <c r="C37" s="15"/>
      <c r="D37" s="15"/>
      <c r="E37" s="15"/>
      <c r="F37" s="3" t="s">
        <v>140</v>
      </c>
      <c r="G37" s="3">
        <f>G36*REACTIONS!D37</f>
        <v>12710000</v>
      </c>
      <c r="H37" s="3"/>
      <c r="I37" s="3"/>
      <c r="J37" s="15"/>
      <c r="K37" s="15"/>
      <c r="L37" s="15"/>
      <c r="M37" s="15"/>
      <c r="N37" s="15"/>
      <c r="O37" s="15"/>
      <c r="P37" s="15"/>
    </row>
    <row r="38" spans="1:19" ht="18.75" x14ac:dyDescent="0.35">
      <c r="A38" s="4"/>
      <c r="B38" s="4"/>
      <c r="C38" s="15"/>
      <c r="D38" s="15"/>
      <c r="E38" s="15"/>
      <c r="F38" s="3" t="s">
        <v>141</v>
      </c>
      <c r="G38" s="3">
        <v>1</v>
      </c>
      <c r="H38" s="3"/>
      <c r="I38" s="3"/>
      <c r="J38" s="19"/>
      <c r="K38" s="15"/>
      <c r="L38" s="15"/>
      <c r="M38" s="15"/>
      <c r="N38" s="15"/>
      <c r="O38" s="15"/>
      <c r="P38" s="15"/>
    </row>
    <row r="39" spans="1:19" ht="18.75" x14ac:dyDescent="0.35">
      <c r="A39" s="4"/>
      <c r="B39" s="4"/>
      <c r="C39" s="15"/>
      <c r="D39" s="15"/>
      <c r="E39" s="15"/>
      <c r="F39" s="3" t="s">
        <v>142</v>
      </c>
      <c r="G39" s="3">
        <f>0.25*SQRT(REACTIONS!E12)</f>
        <v>1.3693063937629153</v>
      </c>
      <c r="H39" s="3"/>
      <c r="I39" s="3"/>
      <c r="J39" s="19"/>
      <c r="K39" s="15"/>
      <c r="L39" s="15"/>
      <c r="M39" s="15"/>
      <c r="N39" s="22"/>
      <c r="O39" s="15"/>
      <c r="P39" s="15"/>
    </row>
    <row r="40" spans="1:19" ht="15.75" x14ac:dyDescent="0.25">
      <c r="A40" s="4"/>
      <c r="B40" s="4"/>
      <c r="C40" s="15"/>
      <c r="D40" s="15"/>
      <c r="E40" s="15"/>
      <c r="F40" s="3" t="s">
        <v>70</v>
      </c>
      <c r="G40" s="3">
        <f>G39*G38*G37</f>
        <v>17403884.264726654</v>
      </c>
      <c r="H40" s="3"/>
      <c r="I40" s="3"/>
      <c r="J40" s="15"/>
      <c r="K40" s="15"/>
      <c r="L40" s="15"/>
      <c r="M40" s="15"/>
      <c r="N40" s="22"/>
      <c r="O40" s="15"/>
      <c r="P40" s="15"/>
    </row>
    <row r="41" spans="1:19" ht="15.75" x14ac:dyDescent="0.25">
      <c r="A41" s="4"/>
      <c r="B41" s="4"/>
      <c r="C41" s="15"/>
      <c r="D41" s="15"/>
      <c r="E41" s="15"/>
      <c r="F41" s="3" t="s">
        <v>89</v>
      </c>
      <c r="G41" s="3">
        <f>REACTIONS!O72*1000</f>
        <v>5000000</v>
      </c>
      <c r="H41" s="35" t="str">
        <f>IF(G41&lt;G40,"OK","NOT OK")</f>
        <v>OK</v>
      </c>
      <c r="I41" s="3"/>
      <c r="J41" s="15"/>
      <c r="K41" s="15"/>
      <c r="L41" s="15"/>
      <c r="M41" s="15"/>
      <c r="N41" s="23"/>
      <c r="O41" s="15"/>
      <c r="P41" s="15"/>
    </row>
    <row r="42" spans="1:19" ht="15.75" x14ac:dyDescent="0.25">
      <c r="A42" s="12"/>
      <c r="B42" s="4"/>
      <c r="C42" s="15"/>
      <c r="D42" s="15"/>
      <c r="E42" s="15"/>
      <c r="F42" s="37" t="s">
        <v>111</v>
      </c>
      <c r="G42" s="3"/>
      <c r="H42" s="3"/>
      <c r="I42" s="3"/>
      <c r="J42" s="15"/>
      <c r="K42" s="15"/>
      <c r="L42" s="15"/>
      <c r="M42" s="15"/>
      <c r="N42" s="15"/>
      <c r="O42" s="15"/>
      <c r="P42" s="15"/>
    </row>
    <row r="43" spans="1:19" ht="15.75" x14ac:dyDescent="0.25">
      <c r="A43" s="12"/>
      <c r="B43" s="4"/>
      <c r="C43" s="15"/>
      <c r="D43" s="15"/>
      <c r="E43" s="15"/>
      <c r="F43" s="3" t="s">
        <v>69</v>
      </c>
      <c r="G43" s="3">
        <f>3.14*(REACTIONS!C28+REACTIONS!D37/1000*0.5)</f>
        <v>4.5373000000000001</v>
      </c>
      <c r="H43" s="3"/>
      <c r="I43" s="3"/>
      <c r="J43" s="15"/>
      <c r="K43" s="15"/>
      <c r="L43" s="15"/>
      <c r="M43" s="20"/>
      <c r="N43" s="15"/>
      <c r="O43" s="15"/>
      <c r="P43" s="15"/>
    </row>
    <row r="44" spans="1:19" ht="18.75" x14ac:dyDescent="0.25">
      <c r="A44" s="12"/>
      <c r="B44" s="4"/>
      <c r="C44" s="15"/>
      <c r="D44" s="15"/>
      <c r="E44" s="15"/>
      <c r="F44" s="3" t="s">
        <v>140</v>
      </c>
      <c r="G44" s="3">
        <f>G43*1000*REACTIONS!D37</f>
        <v>7032815</v>
      </c>
      <c r="H44" s="3"/>
      <c r="I44" s="3"/>
      <c r="J44" s="15"/>
      <c r="K44" s="15"/>
      <c r="L44" s="15"/>
      <c r="M44" s="15"/>
      <c r="N44" s="15"/>
      <c r="O44" s="15"/>
      <c r="P44" s="15"/>
    </row>
    <row r="45" spans="1:19" ht="18.75" x14ac:dyDescent="0.35">
      <c r="A45" s="12"/>
      <c r="B45" s="4"/>
      <c r="C45" s="15"/>
      <c r="D45" s="15"/>
      <c r="E45" s="15"/>
      <c r="F45" s="3" t="s">
        <v>141</v>
      </c>
      <c r="G45" s="3">
        <v>1</v>
      </c>
      <c r="H45" s="3"/>
      <c r="I45" s="3"/>
      <c r="J45" s="15"/>
      <c r="K45" s="15"/>
      <c r="L45" s="15"/>
      <c r="M45" s="15"/>
      <c r="N45" s="15"/>
      <c r="O45" s="15"/>
      <c r="P45" s="15"/>
    </row>
    <row r="46" spans="1:19" ht="18.75" x14ac:dyDescent="0.35">
      <c r="A46" s="12"/>
      <c r="B46" s="4"/>
      <c r="C46" s="15"/>
      <c r="D46" s="15"/>
      <c r="E46" s="15"/>
      <c r="F46" s="3" t="s">
        <v>142</v>
      </c>
      <c r="G46" s="3">
        <f>0.25*SQRT(REACTIONS!E12)</f>
        <v>1.3693063937629153</v>
      </c>
      <c r="H46" s="3"/>
      <c r="I46" s="3"/>
      <c r="J46" s="15"/>
      <c r="K46" s="15"/>
      <c r="L46" s="15"/>
      <c r="M46" s="24"/>
      <c r="N46" s="15"/>
      <c r="O46" s="15"/>
      <c r="P46" s="15"/>
    </row>
    <row r="47" spans="1:19" ht="15.75" x14ac:dyDescent="0.25">
      <c r="A47" s="12"/>
      <c r="B47" s="4"/>
      <c r="C47" s="15"/>
      <c r="D47" s="15"/>
      <c r="E47" s="15"/>
      <c r="F47" s="3" t="s">
        <v>70</v>
      </c>
      <c r="G47" s="3">
        <f>G46*G44</f>
        <v>9630078.5456517376</v>
      </c>
      <c r="H47" s="3"/>
      <c r="I47" s="3"/>
      <c r="J47" s="15"/>
      <c r="K47" s="15"/>
      <c r="L47" s="15"/>
      <c r="M47" s="15"/>
      <c r="N47" s="15"/>
      <c r="O47" s="15"/>
      <c r="P47" s="15"/>
    </row>
    <row r="48" spans="1:19" ht="18.75" x14ac:dyDescent="0.3">
      <c r="A48" s="12"/>
      <c r="B48" s="4"/>
      <c r="C48" s="15"/>
      <c r="D48" s="15"/>
      <c r="E48" s="15"/>
      <c r="F48" s="3" t="s">
        <v>89</v>
      </c>
      <c r="G48" s="3">
        <f>MAX(REACTIONS!M10:M34)*1000</f>
        <v>708333.33333333326</v>
      </c>
      <c r="H48" s="38" t="str">
        <f>IF(G48&lt;G47,"OK","NOT OK")</f>
        <v>OK</v>
      </c>
      <c r="I48" s="3"/>
      <c r="J48" s="15"/>
      <c r="K48" s="15"/>
      <c r="L48" s="15"/>
      <c r="M48" s="21"/>
      <c r="N48" s="15"/>
      <c r="O48" s="15"/>
      <c r="P48" s="15"/>
    </row>
  </sheetData>
  <mergeCells count="14">
    <mergeCell ref="A1:E1"/>
    <mergeCell ref="H8:I8"/>
    <mergeCell ref="H15:I15"/>
    <mergeCell ref="A7:B7"/>
    <mergeCell ref="A11:B11"/>
    <mergeCell ref="A12:B12"/>
    <mergeCell ref="A13:D13"/>
    <mergeCell ref="A14:C14"/>
    <mergeCell ref="A2:C2"/>
    <mergeCell ref="A3:B3"/>
    <mergeCell ref="A4:B4"/>
    <mergeCell ref="A5:B5"/>
    <mergeCell ref="A6:B6"/>
    <mergeCell ref="A8:B8"/>
  </mergeCells>
  <pageMargins left="1.5" right="0.8" top="1" bottom="1.25" header="0.31496062992125984" footer="0.31496062992125984"/>
  <pageSetup scale="78" orientation="portrait" r:id="rId1"/>
  <colBreaks count="1" manualBreakCount="1">
    <brk id="5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56"/>
  <sheetViews>
    <sheetView tabSelected="1" view="pageBreakPreview" zoomScale="60" zoomScaleNormal="100" workbookViewId="0">
      <selection activeCell="C16" sqref="C16"/>
    </sheetView>
  </sheetViews>
  <sheetFormatPr defaultRowHeight="15" x14ac:dyDescent="0.25"/>
  <cols>
    <col min="1" max="1" width="17.5703125" customWidth="1"/>
    <col min="2" max="2" width="12.85546875" customWidth="1"/>
    <col min="4" max="4" width="12.5703125" customWidth="1"/>
    <col min="5" max="5" width="15.85546875" customWidth="1"/>
    <col min="6" max="6" width="31" customWidth="1"/>
    <col min="7" max="7" width="14.7109375" bestFit="1" customWidth="1"/>
    <col min="8" max="8" width="19.140625" customWidth="1"/>
    <col min="9" max="9" width="15" customWidth="1"/>
    <col min="10" max="10" width="14.5703125" customWidth="1"/>
    <col min="11" max="11" width="8.85546875" customWidth="1"/>
    <col min="17" max="17" width="8.85546875" customWidth="1"/>
  </cols>
  <sheetData>
    <row r="1" spans="1:19" ht="18.75" x14ac:dyDescent="0.3">
      <c r="A1" s="49" t="s">
        <v>126</v>
      </c>
      <c r="B1" s="54"/>
      <c r="C1" s="54"/>
      <c r="D1" s="54"/>
      <c r="E1" s="54"/>
    </row>
    <row r="2" spans="1:19" ht="18.75" x14ac:dyDescent="0.3">
      <c r="A2" s="52" t="s">
        <v>54</v>
      </c>
      <c r="B2" s="52"/>
      <c r="C2" s="52"/>
      <c r="D2" s="15"/>
      <c r="E2" s="15"/>
      <c r="F2" s="16" t="s">
        <v>60</v>
      </c>
      <c r="G2" s="15"/>
      <c r="H2" s="15"/>
      <c r="I2" s="15"/>
      <c r="J2" s="17"/>
      <c r="K2" s="15"/>
      <c r="L2" s="15"/>
      <c r="M2" s="15"/>
      <c r="N2" s="15"/>
      <c r="O2" s="15"/>
      <c r="P2" s="15"/>
    </row>
    <row r="3" spans="1:19" ht="15.75" x14ac:dyDescent="0.25">
      <c r="A3" s="56" t="s">
        <v>76</v>
      </c>
      <c r="B3" s="56"/>
      <c r="C3" s="15" t="s">
        <v>2</v>
      </c>
      <c r="D3" s="27">
        <f>MAX(REACTIONS!J10:J34)+REACTIONS!C28+0.3</f>
        <v>4.97</v>
      </c>
      <c r="E3" s="15"/>
      <c r="F3" s="26" t="s">
        <v>61</v>
      </c>
      <c r="G3" s="15"/>
      <c r="H3" s="15"/>
      <c r="I3" s="15"/>
      <c r="J3" s="4"/>
      <c r="K3" s="15"/>
      <c r="L3" s="15"/>
      <c r="M3" s="15"/>
      <c r="N3" s="15"/>
      <c r="O3" s="15"/>
      <c r="P3" s="15"/>
    </row>
    <row r="4" spans="1:19" ht="20.25" x14ac:dyDescent="0.35">
      <c r="A4" s="52" t="s">
        <v>53</v>
      </c>
      <c r="B4" s="52"/>
      <c r="C4" s="12" t="s">
        <v>2</v>
      </c>
      <c r="D4" s="39">
        <f>MAX(REACTIONS!K10:K34)+REACTIONS!C28+0.3</f>
        <v>4.97</v>
      </c>
      <c r="E4" s="15"/>
      <c r="F4" s="12" t="s">
        <v>134</v>
      </c>
      <c r="G4" s="12" t="s">
        <v>135</v>
      </c>
      <c r="H4" s="12" t="s">
        <v>136</v>
      </c>
      <c r="I4" s="12" t="s">
        <v>62</v>
      </c>
      <c r="J4" s="15"/>
      <c r="K4" s="15"/>
      <c r="L4" s="15"/>
      <c r="M4" s="15"/>
      <c r="N4" s="15"/>
      <c r="O4" s="15"/>
      <c r="P4" s="15"/>
    </row>
    <row r="5" spans="1:19" ht="15.75" x14ac:dyDescent="0.25">
      <c r="A5" s="52" t="s">
        <v>77</v>
      </c>
      <c r="B5" s="52"/>
      <c r="C5" s="12"/>
      <c r="D5" s="12"/>
      <c r="E5" s="15"/>
      <c r="F5" s="12">
        <f>REACTIONS!H78*10^6/(0.87*REACTIONS!E10*'design irc 112'!C15)</f>
        <v>5991.7501911130394</v>
      </c>
      <c r="G5" s="12">
        <f>PI()*0.25*D19*D19</f>
        <v>314.15926535897933</v>
      </c>
      <c r="H5" s="39">
        <f>IF(G8&gt;F5,ROUNDUP(G8/G5,0),ROUNDUP(F5/G5,0))</f>
        <v>38</v>
      </c>
      <c r="I5" s="39">
        <f>IF(ROUNDDOWN((D7*1000-0.3-REACTIONS!C28)/(H5-1),-1)&lt;450,ROUNDDOWN((D7*1000-0.3-REACTIONS!C28)/(H5-1),-1),450)</f>
        <v>130</v>
      </c>
      <c r="J5" s="15"/>
      <c r="K5" s="15"/>
      <c r="L5" s="15"/>
      <c r="M5" s="15"/>
      <c r="N5" s="15"/>
      <c r="O5" s="15"/>
      <c r="P5" s="15"/>
    </row>
    <row r="6" spans="1:19" ht="15.75" customHeight="1" x14ac:dyDescent="0.25">
      <c r="A6" s="52" t="s">
        <v>76</v>
      </c>
      <c r="B6" s="52"/>
      <c r="C6" s="12" t="s">
        <v>2</v>
      </c>
      <c r="D6" s="39">
        <f>ROUNDUP(D3,1)</f>
        <v>5</v>
      </c>
      <c r="E6" s="15"/>
      <c r="F6" s="12"/>
      <c r="G6" s="12"/>
      <c r="H6" s="12"/>
      <c r="I6" s="12"/>
      <c r="J6" s="15"/>
      <c r="K6" s="15"/>
      <c r="L6" s="15"/>
      <c r="M6" s="15"/>
      <c r="N6" s="15"/>
      <c r="O6" s="15"/>
      <c r="P6" s="15"/>
    </row>
    <row r="7" spans="1:19" ht="18.75" customHeight="1" x14ac:dyDescent="0.25">
      <c r="A7" s="52" t="s">
        <v>53</v>
      </c>
      <c r="B7" s="52"/>
      <c r="C7" s="12" t="s">
        <v>2</v>
      </c>
      <c r="D7" s="39">
        <f>ROUNDUP(D4,1)</f>
        <v>5</v>
      </c>
      <c r="E7" s="15"/>
      <c r="F7" s="12" t="s">
        <v>137</v>
      </c>
      <c r="G7" s="12" t="s">
        <v>98</v>
      </c>
      <c r="H7" s="12"/>
      <c r="I7" s="12"/>
      <c r="J7" s="15"/>
      <c r="K7" s="15"/>
      <c r="L7" s="15"/>
      <c r="M7" s="15"/>
      <c r="N7" s="15"/>
      <c r="O7" s="18"/>
      <c r="P7" s="18"/>
      <c r="Q7" s="13"/>
      <c r="R7" s="13"/>
      <c r="S7" s="13"/>
    </row>
    <row r="8" spans="1:19" ht="15.75" x14ac:dyDescent="0.25">
      <c r="A8" s="12"/>
      <c r="B8" s="12"/>
      <c r="C8" s="12"/>
      <c r="D8" s="12"/>
      <c r="E8" s="15"/>
      <c r="F8" s="12">
        <f>H5*G5</f>
        <v>11938.052083641214</v>
      </c>
      <c r="G8" s="12">
        <f>0.15*D7*10*REACTIONS!D37</f>
        <v>11625</v>
      </c>
      <c r="H8" s="55" t="str">
        <f>IF(G8&gt;F5," MINIMUM STEEL is provided","")</f>
        <v xml:space="preserve"> MINIMUM STEEL is provided</v>
      </c>
      <c r="I8" s="55"/>
      <c r="J8" s="15"/>
      <c r="K8" s="15"/>
      <c r="L8" s="15"/>
      <c r="M8" s="15"/>
      <c r="N8" s="15"/>
      <c r="O8" s="18"/>
      <c r="P8" s="18"/>
      <c r="Q8" s="13"/>
      <c r="R8" s="13"/>
      <c r="S8" s="13"/>
    </row>
    <row r="9" spans="1:19" ht="15.75" x14ac:dyDescent="0.25">
      <c r="A9" s="12" t="s">
        <v>78</v>
      </c>
      <c r="B9" s="12"/>
      <c r="C9" s="12"/>
      <c r="D9" s="12"/>
      <c r="E9" s="15"/>
      <c r="F9" s="12"/>
      <c r="G9" s="12"/>
      <c r="H9" s="12"/>
      <c r="I9" s="12"/>
      <c r="J9" s="15"/>
      <c r="K9" s="15"/>
      <c r="L9" s="15"/>
      <c r="M9" s="15"/>
      <c r="N9" s="15"/>
      <c r="O9" s="15"/>
      <c r="P9" s="18"/>
      <c r="Q9" s="13"/>
      <c r="R9" s="13"/>
      <c r="S9" s="13"/>
    </row>
    <row r="10" spans="1:19" ht="15.75" x14ac:dyDescent="0.25">
      <c r="E10" s="15"/>
      <c r="F10" s="41" t="s">
        <v>63</v>
      </c>
      <c r="G10" s="12"/>
      <c r="H10" s="12"/>
      <c r="I10" s="12"/>
      <c r="J10" s="4"/>
      <c r="K10" s="15"/>
      <c r="L10" s="15"/>
      <c r="M10" s="15"/>
      <c r="N10" s="15"/>
      <c r="O10" s="15"/>
      <c r="P10" s="18"/>
      <c r="Q10" s="13"/>
      <c r="R10" s="13"/>
      <c r="S10" s="13"/>
    </row>
    <row r="11" spans="1:19" ht="20.25" x14ac:dyDescent="0.35">
      <c r="E11" s="15"/>
      <c r="F11" s="12" t="s">
        <v>134</v>
      </c>
      <c r="G11" s="12" t="s">
        <v>135</v>
      </c>
      <c r="H11" s="12" t="s">
        <v>136</v>
      </c>
      <c r="I11" s="12" t="s">
        <v>62</v>
      </c>
      <c r="J11" s="15"/>
      <c r="K11" s="15"/>
      <c r="L11" s="15"/>
      <c r="M11" s="15"/>
      <c r="N11" s="15"/>
      <c r="O11" s="15"/>
      <c r="P11" s="15"/>
    </row>
    <row r="12" spans="1:19" ht="15.75" x14ac:dyDescent="0.25">
      <c r="E12" s="15"/>
      <c r="F12" s="12">
        <f>REACTIONS!D78*10^6/(0.87*REACTIONS!E10*'design irc 112'!C15)</f>
        <v>5991.7501911130394</v>
      </c>
      <c r="G12" s="12">
        <f>G5</f>
        <v>314.15926535897933</v>
      </c>
      <c r="H12" s="39">
        <f>IF(G15&gt;F12,ROUNDUP(G15/G5,0),ROUNDUP(F12/G5,0))</f>
        <v>38</v>
      </c>
      <c r="I12" s="39">
        <f>IF(ROUNDDOWN((D6*1000-0.3-REACTIONS!C28)/(H12-1),-1)&lt;450,ROUNDDOWN((D6*1000-0.3-REACTIONS!C28)/(H12-1),-1),450)</f>
        <v>130</v>
      </c>
      <c r="J12" s="15"/>
      <c r="K12" s="15"/>
      <c r="L12" s="15"/>
      <c r="M12" s="15"/>
      <c r="N12" s="15"/>
      <c r="O12" s="15"/>
      <c r="P12" s="15"/>
    </row>
    <row r="13" spans="1:19" ht="17.45" customHeight="1" x14ac:dyDescent="0.25">
      <c r="C13" s="47" t="str">
        <f>IF(B14&gt;0.133," increase the depth of pile cap","")</f>
        <v/>
      </c>
      <c r="D13" s="47"/>
      <c r="E13" s="47"/>
      <c r="F13" s="12"/>
      <c r="G13" s="12"/>
      <c r="H13" s="12"/>
      <c r="I13" s="12"/>
      <c r="J13" s="19"/>
      <c r="K13" s="15"/>
      <c r="L13" s="15"/>
      <c r="M13" s="15"/>
      <c r="N13" s="15"/>
      <c r="O13" s="15"/>
      <c r="P13" s="15"/>
    </row>
    <row r="14" spans="1:19" ht="21.6" customHeight="1" x14ac:dyDescent="0.25">
      <c r="A14" t="s">
        <v>145</v>
      </c>
      <c r="B14" s="5">
        <f>REACTIONS!E80*10^6/(REACTIONS!E12*MAX(D6:D7)*1000*REACTIONS!D37*REACTIONS!D37)</f>
        <v>1.109954908081859E-2</v>
      </c>
      <c r="C14" t="s">
        <v>146</v>
      </c>
      <c r="E14" s="15"/>
      <c r="F14" s="12" t="s">
        <v>137</v>
      </c>
      <c r="G14" s="12" t="s">
        <v>98</v>
      </c>
      <c r="H14" s="12"/>
      <c r="I14" s="12"/>
      <c r="J14" s="19"/>
      <c r="K14" s="15"/>
      <c r="L14" s="15"/>
      <c r="M14" s="15"/>
      <c r="N14" s="15"/>
      <c r="O14" s="15"/>
      <c r="P14" s="15"/>
    </row>
    <row r="15" spans="1:19" ht="15.75" x14ac:dyDescent="0.25">
      <c r="A15" s="12" t="s">
        <v>114</v>
      </c>
      <c r="B15" s="12" t="s">
        <v>2</v>
      </c>
      <c r="C15" s="12">
        <f>REACTIONS!D37*(0.5+SQRT((0.25-B14/1.134)))</f>
        <v>1534.6771820509455</v>
      </c>
      <c r="D15" s="12"/>
      <c r="E15" s="15"/>
      <c r="F15" s="12">
        <f>H12*G12</f>
        <v>11938.052083641214</v>
      </c>
      <c r="G15" s="12">
        <f>0.15*10*D6*REACTIONS!D37</f>
        <v>11625</v>
      </c>
      <c r="H15" s="55" t="str">
        <f>IF(G15&gt;F12," MINIMUM STEEL is provided","")</f>
        <v xml:space="preserve"> MINIMUM STEEL is provided</v>
      </c>
      <c r="I15" s="55"/>
      <c r="J15" s="19"/>
      <c r="K15" s="15"/>
      <c r="L15" s="15"/>
      <c r="M15" s="15"/>
      <c r="N15" s="15"/>
      <c r="O15" s="15"/>
      <c r="P15" s="15"/>
    </row>
    <row r="16" spans="1:19" ht="15.75" x14ac:dyDescent="0.25">
      <c r="A16" s="52" t="s">
        <v>79</v>
      </c>
      <c r="B16" s="52"/>
      <c r="C16" s="12" t="s">
        <v>2</v>
      </c>
      <c r="D16" s="39">
        <f>IF(REACTIONS!D78&gt;REACTIONS!H78,SQRT(REACTIONS!E80*10^(6)/(0.13*REACTIONS!E12*'design(is 456)'!D7*1000)),SQRT(REACTIONS!E80*10^(6)/(0.13*REACTIONS!E12*'design(is 456)'!D6*1000)))</f>
        <v>452.91081365783828</v>
      </c>
      <c r="E16" s="15"/>
      <c r="F16" s="12"/>
      <c r="G16" s="12"/>
      <c r="H16" s="12"/>
      <c r="I16" s="12"/>
      <c r="J16" s="15"/>
      <c r="K16" s="15"/>
      <c r="L16" s="15"/>
      <c r="M16" s="15"/>
      <c r="N16" s="15"/>
      <c r="O16" s="15"/>
      <c r="P16" s="15"/>
    </row>
    <row r="17" spans="1:19" ht="15.75" x14ac:dyDescent="0.25">
      <c r="A17" s="52" t="s">
        <v>80</v>
      </c>
      <c r="B17" s="52"/>
      <c r="C17" s="12" t="s">
        <v>2</v>
      </c>
      <c r="D17" s="39">
        <f>ROUND(0.87*REACTIONS!E10*REACTIONS!C7/(4*VLOOKUP(REACTIONS!E12,'reference -112'!A6:C15,3)),0)</f>
        <v>806</v>
      </c>
      <c r="E17" s="15"/>
      <c r="F17" s="41" t="s">
        <v>64</v>
      </c>
      <c r="G17" s="12"/>
      <c r="H17" s="12"/>
      <c r="I17" s="12"/>
      <c r="J17" s="15"/>
      <c r="K17" s="15"/>
      <c r="L17" s="15"/>
      <c r="M17" s="20"/>
      <c r="N17" s="15"/>
      <c r="O17" s="15"/>
      <c r="P17" s="15"/>
    </row>
    <row r="18" spans="1:19" ht="15.75" x14ac:dyDescent="0.25">
      <c r="A18" s="57" t="str">
        <f>IF(MAX(D16,D17)&lt;REACTIONS!D37," Assumed depth is  ok","Assumed depth is  not ok")</f>
        <v xml:space="preserve"> Assumed depth is  ok</v>
      </c>
      <c r="B18" s="57"/>
      <c r="C18" s="57"/>
      <c r="D18" s="57"/>
      <c r="E18" s="15"/>
      <c r="F18" s="41" t="s">
        <v>65</v>
      </c>
      <c r="G18" s="12"/>
      <c r="H18" s="34"/>
      <c r="I18" s="12"/>
      <c r="J18" s="15"/>
      <c r="K18" s="15"/>
      <c r="L18" s="15"/>
      <c r="M18" s="15"/>
      <c r="N18" s="15"/>
      <c r="O18" s="15"/>
      <c r="P18" s="15"/>
    </row>
    <row r="19" spans="1:19" ht="15.75" x14ac:dyDescent="0.25">
      <c r="A19" s="57" t="s">
        <v>84</v>
      </c>
      <c r="B19" s="57"/>
      <c r="C19" s="57"/>
      <c r="D19" s="40">
        <v>20</v>
      </c>
      <c r="E19" s="15"/>
      <c r="F19" s="34" t="s">
        <v>115</v>
      </c>
      <c r="G19" s="12">
        <f>IF((1+SQRT(200/REACTIONS!D37))&lt;2,(1+SQRT(200/REACTIONS!D37)),2)</f>
        <v>1.3592106040535499</v>
      </c>
      <c r="H19" s="34"/>
      <c r="I19" s="12"/>
      <c r="J19" s="15"/>
      <c r="K19" s="15"/>
      <c r="L19" s="15"/>
      <c r="M19" s="15"/>
      <c r="N19" s="15"/>
      <c r="O19" s="15"/>
      <c r="P19" s="15"/>
    </row>
    <row r="20" spans="1:19" ht="15.75" x14ac:dyDescent="0.25">
      <c r="A20" s="4"/>
      <c r="B20" s="4"/>
      <c r="C20" s="15"/>
      <c r="D20" s="15"/>
      <c r="E20" s="15"/>
      <c r="F20" s="34" t="s">
        <v>116</v>
      </c>
      <c r="G20" s="12">
        <f>IF(0.12*G19*(G23*0.8*REACTIONS!E12)^(1/3)&lt;0.035*'design irc 112'!G19^(1.5)*(0.8*REACTIONS!E12)^0.5,0.035*'design irc 112'!G19^(1.5)*(0.8*REACTIONS!E12)^0.5,0.12*G19*(G23*0.8*REACTIONS!E12)^(1/3))</f>
        <v>0.27170885750458862</v>
      </c>
      <c r="H20" s="34"/>
      <c r="I20" s="12"/>
      <c r="J20" s="15"/>
      <c r="K20" s="15"/>
      <c r="L20" s="15"/>
      <c r="M20" s="15"/>
      <c r="N20" s="15"/>
      <c r="O20" s="15"/>
      <c r="P20" s="15"/>
    </row>
    <row r="21" spans="1:19" ht="15.75" x14ac:dyDescent="0.25">
      <c r="A21" s="4"/>
      <c r="B21" s="4"/>
      <c r="C21" s="15"/>
      <c r="D21" s="15"/>
      <c r="E21" s="15"/>
      <c r="F21" s="41"/>
      <c r="G21" s="12"/>
      <c r="H21" s="34"/>
      <c r="I21" s="12"/>
      <c r="J21" s="15"/>
      <c r="K21" s="15"/>
      <c r="L21" s="15"/>
      <c r="M21" s="15"/>
      <c r="N21" s="15"/>
      <c r="O21" s="15"/>
      <c r="P21" s="15"/>
    </row>
    <row r="22" spans="1:19" ht="15.75" x14ac:dyDescent="0.25">
      <c r="A22" s="4"/>
      <c r="B22" s="4"/>
      <c r="C22" s="15"/>
      <c r="D22" s="15"/>
      <c r="E22" s="15"/>
      <c r="F22" s="41"/>
      <c r="G22" s="12"/>
      <c r="H22" s="34"/>
      <c r="I22" s="12"/>
      <c r="J22" s="15"/>
      <c r="K22" s="15"/>
      <c r="L22" s="15"/>
      <c r="M22" s="15"/>
      <c r="N22" s="15"/>
      <c r="O22" s="15"/>
      <c r="P22" s="15"/>
    </row>
    <row r="23" spans="1:19" ht="18.75" x14ac:dyDescent="0.3">
      <c r="A23" s="4"/>
      <c r="B23" s="4"/>
      <c r="C23" s="15"/>
      <c r="D23" s="15"/>
      <c r="E23" s="15"/>
      <c r="F23" s="12" t="s">
        <v>66</v>
      </c>
      <c r="G23" s="12">
        <f>F8/(D7*1000*REACTIONS!D37)*100</f>
        <v>0.15403938172440276</v>
      </c>
      <c r="H23" s="12"/>
      <c r="I23" s="12"/>
      <c r="J23" s="15"/>
      <c r="K23" s="21"/>
      <c r="L23" s="21"/>
      <c r="M23" s="21"/>
      <c r="N23" s="21"/>
      <c r="O23" s="21"/>
      <c r="P23" s="15"/>
    </row>
    <row r="24" spans="1:19" ht="15.75" x14ac:dyDescent="0.25">
      <c r="A24" s="4"/>
      <c r="B24" s="4"/>
      <c r="C24" s="15"/>
      <c r="D24" s="15"/>
      <c r="E24" s="15"/>
      <c r="F24" s="12"/>
      <c r="G24" s="12"/>
      <c r="H24" s="12"/>
      <c r="I24" s="12"/>
      <c r="J24" s="15"/>
      <c r="K24" s="15"/>
      <c r="L24" s="15"/>
      <c r="M24" s="15"/>
      <c r="N24" s="15"/>
      <c r="O24" s="15"/>
      <c r="P24" s="15"/>
    </row>
    <row r="25" spans="1:19" ht="20.25" x14ac:dyDescent="0.35">
      <c r="A25" s="4"/>
      <c r="B25" s="4"/>
      <c r="C25" s="15"/>
      <c r="D25" s="15"/>
      <c r="E25" s="15"/>
      <c r="F25" s="12" t="s">
        <v>139</v>
      </c>
      <c r="G25" s="12">
        <f>REACTIONS!K62*1000/(REACTIONS!D37*D7*1000)</f>
        <v>0.25806451612903225</v>
      </c>
      <c r="H25" s="39" t="str">
        <f>IF(G25&lt;G20,"OK","NOT OK")</f>
        <v>OK</v>
      </c>
      <c r="I25" s="12"/>
      <c r="J25" s="15"/>
      <c r="K25" s="15"/>
      <c r="L25" s="15"/>
      <c r="M25" s="15"/>
      <c r="N25" s="15"/>
      <c r="O25" s="15"/>
      <c r="P25" s="15"/>
    </row>
    <row r="26" spans="1:19" ht="15.75" x14ac:dyDescent="0.25">
      <c r="A26" s="4"/>
      <c r="B26" s="4"/>
      <c r="C26" s="15"/>
      <c r="D26" s="15"/>
      <c r="E26" s="15"/>
      <c r="F26" s="12"/>
      <c r="G26" s="12"/>
      <c r="H26" s="12"/>
      <c r="I26" s="12"/>
      <c r="J26" s="15"/>
      <c r="K26" s="15"/>
      <c r="L26" s="15"/>
      <c r="M26" s="15"/>
      <c r="N26" s="15"/>
      <c r="O26" s="15"/>
      <c r="P26" s="15"/>
    </row>
    <row r="27" spans="1:19" ht="15.75" x14ac:dyDescent="0.25">
      <c r="A27" s="4"/>
      <c r="B27" s="4"/>
      <c r="C27" s="15"/>
      <c r="D27" s="15"/>
      <c r="E27" s="15"/>
      <c r="F27" s="41" t="s">
        <v>67</v>
      </c>
      <c r="G27" s="12"/>
      <c r="H27" s="12"/>
      <c r="I27" s="12"/>
      <c r="J27" s="15"/>
      <c r="K27" s="15"/>
      <c r="L27" s="15"/>
      <c r="M27" s="15"/>
      <c r="N27" s="15"/>
      <c r="O27" s="15"/>
      <c r="P27" s="15"/>
    </row>
    <row r="28" spans="1:19" ht="15.75" x14ac:dyDescent="0.25">
      <c r="A28" s="4"/>
      <c r="B28" s="4"/>
      <c r="C28" s="15"/>
      <c r="D28" s="15"/>
      <c r="E28" s="15"/>
      <c r="F28" s="34" t="s">
        <v>115</v>
      </c>
      <c r="G28" s="12">
        <f>IF((1+SQRT(200/REACTIONS!D37))&lt;2,(1+SQRT(200/REACTIONS!D37)),2)</f>
        <v>1.3592106040535499</v>
      </c>
      <c r="H28" s="12"/>
      <c r="I28" s="12"/>
      <c r="J28" s="15"/>
      <c r="K28" s="15"/>
      <c r="L28" s="15"/>
      <c r="M28" s="15"/>
      <c r="N28" s="15"/>
      <c r="O28" s="15"/>
      <c r="P28" s="15"/>
    </row>
    <row r="29" spans="1:19" ht="15.75" x14ac:dyDescent="0.25">
      <c r="A29" s="4"/>
      <c r="B29" s="4"/>
      <c r="C29" s="15"/>
      <c r="D29" s="15"/>
      <c r="E29" s="15"/>
      <c r="F29" s="34" t="s">
        <v>116</v>
      </c>
      <c r="G29" s="12">
        <f>IF(0.12*G28*(G30*0.8*REACTIONS!E12)^(1/3)&lt;0.035*'design irc 112'!G28^(1.5)*(0.8*REACTIONS!E12)^0.5,0.035*'design irc 112'!G28^(1.5)*(0.8*REACTIONS!E12)^0.5,0.12*G28*(G30*0.8*REACTIONS!E12)^(1/3))</f>
        <v>0.27170885750458862</v>
      </c>
      <c r="H29" s="12"/>
      <c r="I29" s="12"/>
      <c r="J29" s="15"/>
      <c r="K29" s="15"/>
      <c r="L29" s="15"/>
      <c r="M29" s="15"/>
      <c r="N29" s="15"/>
      <c r="O29" s="15"/>
      <c r="P29" s="15"/>
    </row>
    <row r="30" spans="1:19" ht="18.75" customHeight="1" x14ac:dyDescent="0.25">
      <c r="A30" s="4"/>
      <c r="B30" s="4"/>
      <c r="C30" s="15"/>
      <c r="D30" s="15"/>
      <c r="E30" s="15"/>
      <c r="F30" s="12" t="s">
        <v>66</v>
      </c>
      <c r="G30" s="12">
        <f>F15/(D6*1000*REACTIONS!D37)*100</f>
        <v>0.15403938172440276</v>
      </c>
      <c r="H30" s="12"/>
      <c r="I30" s="12"/>
      <c r="J30" s="15"/>
      <c r="K30" s="15"/>
      <c r="L30" s="15"/>
      <c r="M30" s="15"/>
      <c r="N30" s="15"/>
      <c r="O30" s="15"/>
      <c r="P30" s="18"/>
      <c r="Q30" s="13"/>
      <c r="R30" s="13"/>
      <c r="S30" s="13"/>
    </row>
    <row r="31" spans="1:19" ht="15.75" x14ac:dyDescent="0.25">
      <c r="A31" s="4"/>
      <c r="B31" s="4"/>
      <c r="C31" s="15"/>
      <c r="D31" s="15"/>
      <c r="E31" s="15"/>
      <c r="F31" s="12"/>
      <c r="G31" s="12"/>
      <c r="H31" s="12"/>
      <c r="I31" s="12"/>
      <c r="J31" s="15"/>
      <c r="K31" s="15"/>
      <c r="L31" s="15"/>
      <c r="M31" s="15"/>
      <c r="N31" s="15"/>
      <c r="O31" s="15"/>
      <c r="P31" s="18"/>
      <c r="Q31" s="13"/>
      <c r="R31" s="13"/>
      <c r="S31" s="13"/>
    </row>
    <row r="32" spans="1:19" ht="19.5" customHeight="1" x14ac:dyDescent="0.35">
      <c r="A32" s="4"/>
      <c r="B32" s="4"/>
      <c r="C32" s="15"/>
      <c r="D32" s="15"/>
      <c r="E32" s="15"/>
      <c r="F32" s="12" t="s">
        <v>139</v>
      </c>
      <c r="G32" s="12">
        <f>REACTIONS!K79*1000/(REACTIONS!D37*D6*1000)</f>
        <v>0.25806451612903225</v>
      </c>
      <c r="H32" s="39" t="str">
        <f>IF(G32&lt;G29,"OK","NOT OK")</f>
        <v>OK</v>
      </c>
      <c r="I32" s="12"/>
      <c r="J32" s="15"/>
      <c r="K32" s="15"/>
      <c r="L32" s="15"/>
      <c r="M32" s="15"/>
      <c r="N32" s="15"/>
      <c r="O32" s="15"/>
      <c r="P32" s="15"/>
      <c r="Q32" s="13"/>
      <c r="R32" s="13"/>
      <c r="S32" s="13"/>
    </row>
    <row r="33" spans="1:19" ht="15.75" x14ac:dyDescent="0.25">
      <c r="A33" s="4"/>
      <c r="B33" s="4"/>
      <c r="C33" s="15"/>
      <c r="D33" s="15"/>
      <c r="E33" s="15"/>
      <c r="F33" s="12"/>
      <c r="G33" s="12"/>
      <c r="H33" s="12"/>
      <c r="I33" s="12"/>
      <c r="J33" s="15"/>
      <c r="K33" s="15"/>
      <c r="L33" s="15"/>
      <c r="M33" s="15"/>
      <c r="N33" s="15"/>
      <c r="O33" s="15"/>
      <c r="P33" s="15"/>
      <c r="Q33" s="13"/>
      <c r="R33" s="13"/>
      <c r="S33" s="13"/>
    </row>
    <row r="34" spans="1:19" ht="15.75" x14ac:dyDescent="0.25">
      <c r="A34" s="4"/>
      <c r="B34" s="4"/>
      <c r="C34" s="15"/>
      <c r="D34" s="15"/>
      <c r="E34" s="15"/>
      <c r="F34" s="41" t="s">
        <v>68</v>
      </c>
      <c r="G34" s="12"/>
      <c r="H34" s="12"/>
      <c r="I34" s="12"/>
      <c r="J34" s="15"/>
      <c r="K34" s="15"/>
      <c r="L34" s="15"/>
      <c r="M34" s="15"/>
      <c r="N34" s="15"/>
      <c r="O34" s="15"/>
      <c r="P34" s="15"/>
      <c r="Q34" s="13"/>
      <c r="R34" s="13"/>
      <c r="S34" s="13"/>
    </row>
    <row r="35" spans="1:19" ht="15.75" x14ac:dyDescent="0.25">
      <c r="A35" s="4"/>
      <c r="B35" s="4"/>
      <c r="C35" s="15"/>
      <c r="D35" s="15"/>
      <c r="E35" s="15"/>
      <c r="F35" s="41" t="s">
        <v>143</v>
      </c>
      <c r="G35" s="12"/>
      <c r="H35" s="12"/>
      <c r="I35" s="12"/>
      <c r="J35" s="15"/>
      <c r="K35" s="15"/>
      <c r="L35" s="15"/>
      <c r="M35" s="15"/>
      <c r="N35" s="15"/>
      <c r="O35" s="15"/>
      <c r="P35" s="15"/>
      <c r="Q35" s="13"/>
      <c r="R35" s="13"/>
      <c r="S35" s="13"/>
    </row>
    <row r="36" spans="1:19" ht="15.75" x14ac:dyDescent="0.25">
      <c r="A36" s="4"/>
      <c r="B36" s="4"/>
      <c r="C36" s="15"/>
      <c r="D36" s="15"/>
      <c r="E36" s="15"/>
      <c r="F36" s="12" t="s">
        <v>69</v>
      </c>
      <c r="G36" s="12">
        <f>2*(REACTIONS!C5*1000+REACTIONS!C6*1000)</f>
        <v>2000</v>
      </c>
      <c r="H36" s="12"/>
      <c r="I36" s="12"/>
      <c r="J36" s="15"/>
      <c r="K36" s="15"/>
      <c r="L36" s="15"/>
      <c r="M36" s="15"/>
      <c r="N36" s="15"/>
      <c r="O36" s="15"/>
      <c r="P36" s="15"/>
      <c r="Q36" s="13"/>
      <c r="R36" s="13"/>
      <c r="S36" s="13"/>
    </row>
    <row r="37" spans="1:19" ht="18.75" x14ac:dyDescent="0.25">
      <c r="A37" s="4"/>
      <c r="B37" s="4"/>
      <c r="C37" s="15"/>
      <c r="D37" s="15"/>
      <c r="E37" s="15"/>
      <c r="F37" s="12" t="s">
        <v>140</v>
      </c>
      <c r="G37" s="12">
        <f>G36*REACTIONS!D37</f>
        <v>3100000</v>
      </c>
      <c r="H37" s="12"/>
      <c r="I37" s="12"/>
      <c r="J37" s="15"/>
      <c r="K37" s="15"/>
      <c r="L37" s="15"/>
      <c r="M37" s="15"/>
      <c r="N37" s="15"/>
      <c r="O37" s="15"/>
      <c r="P37" s="15"/>
      <c r="Q37" s="13"/>
      <c r="R37" s="13"/>
      <c r="S37" s="13"/>
    </row>
    <row r="38" spans="1:19" ht="15.75" x14ac:dyDescent="0.25">
      <c r="A38" s="4"/>
      <c r="B38" s="4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3"/>
      <c r="R38" s="13"/>
      <c r="S38" s="13"/>
    </row>
    <row r="39" spans="1:19" ht="15.75" x14ac:dyDescent="0.25">
      <c r="A39" s="4"/>
      <c r="B39" s="4"/>
      <c r="C39" s="15"/>
      <c r="D39" s="15"/>
      <c r="E39" s="15"/>
      <c r="F39" s="15" t="s">
        <v>117</v>
      </c>
      <c r="G39" s="15">
        <f>0.5*G37*(0.6*(1-0.8*REACTIONS!E12/250))*0.8*REACTIONS!E12/1.5</f>
        <v>13451520</v>
      </c>
      <c r="H39" s="15" t="s">
        <v>118</v>
      </c>
      <c r="I39" s="15"/>
      <c r="J39" s="15"/>
      <c r="K39" s="15"/>
      <c r="L39" s="15"/>
      <c r="M39" s="15"/>
      <c r="N39" s="15"/>
      <c r="O39" s="15"/>
      <c r="P39" s="15"/>
      <c r="Q39" s="13"/>
      <c r="R39" s="13"/>
      <c r="S39" s="13"/>
    </row>
    <row r="40" spans="1:19" ht="15.75" x14ac:dyDescent="0.25">
      <c r="A40" s="4"/>
      <c r="B40" s="4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3"/>
      <c r="R40" s="13"/>
      <c r="S40" s="13"/>
    </row>
    <row r="41" spans="1:19" ht="15.75" x14ac:dyDescent="0.25">
      <c r="A41" s="15"/>
      <c r="B41" s="4"/>
      <c r="C41" s="15"/>
      <c r="D41" s="15"/>
      <c r="E41" s="15"/>
      <c r="F41" s="15" t="s">
        <v>89</v>
      </c>
      <c r="G41" s="15">
        <f>REACTIONS!O72*1000</f>
        <v>5000000</v>
      </c>
      <c r="H41" s="27" t="str">
        <f>IF(G41&lt;G39,"OK","NOT OK")</f>
        <v>OK</v>
      </c>
      <c r="I41" s="15"/>
      <c r="J41" s="15"/>
      <c r="K41" s="15"/>
      <c r="L41" s="15"/>
      <c r="M41" s="15"/>
      <c r="N41" s="15"/>
      <c r="O41" s="15"/>
      <c r="P41" s="15"/>
      <c r="Q41" s="13"/>
      <c r="R41" s="13"/>
      <c r="S41" s="13"/>
    </row>
    <row r="42" spans="1:19" ht="18.75" x14ac:dyDescent="0.3">
      <c r="A42" s="16"/>
      <c r="B42" s="4"/>
      <c r="C42" s="15"/>
      <c r="D42" s="15"/>
      <c r="E42" s="15"/>
      <c r="F42" s="41" t="s">
        <v>144</v>
      </c>
      <c r="G42" s="12"/>
      <c r="H42" s="12"/>
      <c r="I42" s="15"/>
      <c r="J42" s="15"/>
      <c r="K42" s="15"/>
      <c r="L42" s="15"/>
      <c r="M42" s="15"/>
      <c r="N42" s="15"/>
      <c r="O42" s="15"/>
      <c r="P42" s="15"/>
    </row>
    <row r="43" spans="1:19" ht="18.75" x14ac:dyDescent="0.3">
      <c r="A43" s="16"/>
      <c r="B43" s="4"/>
      <c r="C43" s="15"/>
      <c r="D43" s="15"/>
      <c r="E43" s="15"/>
      <c r="F43" s="12" t="s">
        <v>69</v>
      </c>
      <c r="G43" s="12">
        <f>3.14*(REACTIONS!C28+REACTIONS!D37/1000*0.5)</f>
        <v>4.5373000000000001</v>
      </c>
      <c r="H43" s="12"/>
      <c r="I43" s="15"/>
      <c r="J43" s="15"/>
      <c r="K43" s="15"/>
      <c r="L43" s="15"/>
      <c r="M43" s="15"/>
      <c r="N43" s="15"/>
      <c r="O43" s="15"/>
      <c r="P43" s="15"/>
    </row>
    <row r="44" spans="1:19" ht="18.75" x14ac:dyDescent="0.25">
      <c r="A44" s="4"/>
      <c r="B44" s="4"/>
      <c r="C44" s="15"/>
      <c r="D44" s="15"/>
      <c r="E44" s="15"/>
      <c r="F44" s="12" t="s">
        <v>140</v>
      </c>
      <c r="G44" s="12">
        <f>G43*1000*REACTIONS!D37</f>
        <v>7032815</v>
      </c>
      <c r="H44" s="12"/>
      <c r="I44" s="15"/>
      <c r="J44" s="15"/>
      <c r="K44" s="15"/>
      <c r="L44" s="15"/>
      <c r="M44" s="15"/>
      <c r="N44" s="15"/>
      <c r="O44" s="15"/>
      <c r="P44" s="15"/>
    </row>
    <row r="45" spans="1:19" ht="15.75" x14ac:dyDescent="0.25">
      <c r="A45" s="4"/>
      <c r="B45" s="4"/>
      <c r="C45" s="15"/>
      <c r="D45" s="15"/>
      <c r="E45" s="15"/>
      <c r="F45" s="12"/>
      <c r="G45" s="12"/>
      <c r="H45" s="12"/>
      <c r="I45" s="15"/>
      <c r="J45" s="15"/>
      <c r="K45" s="15"/>
      <c r="L45" s="15"/>
      <c r="M45" s="15"/>
      <c r="N45" s="15"/>
      <c r="O45" s="15"/>
      <c r="P45" s="15"/>
    </row>
    <row r="46" spans="1:19" ht="15.75" x14ac:dyDescent="0.25">
      <c r="A46" s="4"/>
      <c r="B46" s="4"/>
      <c r="C46" s="15"/>
      <c r="D46" s="15"/>
      <c r="E46" s="15"/>
      <c r="F46" s="12" t="s">
        <v>117</v>
      </c>
      <c r="G46" s="12">
        <f>0.5*G44*(0.6*(1-0.8*REACTIONS!E12/250))*0.8*REACTIONS!E12/1.5</f>
        <v>30516790.848000005</v>
      </c>
      <c r="H46" s="12" t="s">
        <v>118</v>
      </c>
      <c r="I46" s="15"/>
      <c r="J46" s="19"/>
      <c r="K46" s="15"/>
      <c r="L46" s="15"/>
      <c r="M46" s="15"/>
      <c r="N46" s="15"/>
      <c r="O46" s="15"/>
      <c r="P46" s="15"/>
    </row>
    <row r="47" spans="1:19" ht="15.75" x14ac:dyDescent="0.25">
      <c r="A47" s="4"/>
      <c r="B47" s="4"/>
      <c r="C47" s="15"/>
      <c r="D47" s="15"/>
      <c r="E47" s="15"/>
      <c r="F47" s="12"/>
      <c r="G47" s="12"/>
      <c r="H47" s="12"/>
      <c r="I47" s="15"/>
      <c r="J47" s="19"/>
      <c r="K47" s="15"/>
      <c r="L47" s="15"/>
      <c r="M47" s="15"/>
      <c r="N47" s="22"/>
      <c r="O47" s="15"/>
      <c r="P47" s="15"/>
    </row>
    <row r="48" spans="1:19" ht="15.75" x14ac:dyDescent="0.25">
      <c r="A48" s="4"/>
      <c r="B48" s="4"/>
      <c r="C48" s="15"/>
      <c r="D48" s="15"/>
      <c r="E48" s="15"/>
      <c r="F48" s="12" t="s">
        <v>89</v>
      </c>
      <c r="G48" s="12">
        <f>MAX(REACTIONS!M10:M34)*1000</f>
        <v>708333.33333333326</v>
      </c>
      <c r="H48" s="42" t="str">
        <f>IF(G48&lt;G46,"OK","NOT OK")</f>
        <v>OK</v>
      </c>
      <c r="I48" s="15"/>
      <c r="J48" s="15"/>
      <c r="K48" s="15"/>
      <c r="L48" s="15"/>
      <c r="M48" s="15"/>
      <c r="N48" s="22"/>
      <c r="O48" s="15"/>
      <c r="P48" s="15"/>
    </row>
    <row r="49" spans="1:16" ht="15.75" x14ac:dyDescent="0.25">
      <c r="A49" s="4"/>
      <c r="B49" s="4"/>
      <c r="C49" s="15"/>
      <c r="D49" s="15"/>
      <c r="E49" s="15"/>
      <c r="I49" s="15"/>
      <c r="J49" s="15"/>
      <c r="K49" s="15"/>
      <c r="L49" s="15"/>
      <c r="M49" s="15"/>
      <c r="N49" s="23"/>
      <c r="O49" s="15"/>
      <c r="P49" s="15"/>
    </row>
    <row r="50" spans="1:16" ht="15.75" x14ac:dyDescent="0.25">
      <c r="A50" s="12"/>
      <c r="B50" s="4"/>
      <c r="C50" s="15"/>
      <c r="D50" s="15"/>
      <c r="E50" s="15"/>
      <c r="I50" s="15"/>
      <c r="J50" s="15"/>
      <c r="K50" s="15"/>
      <c r="L50" s="15"/>
      <c r="M50" s="15"/>
      <c r="N50" s="15"/>
      <c r="O50" s="15"/>
      <c r="P50" s="15"/>
    </row>
    <row r="51" spans="1:16" ht="15.75" x14ac:dyDescent="0.25">
      <c r="A51" s="12"/>
      <c r="B51" s="4"/>
      <c r="C51" s="15"/>
      <c r="D51" s="15"/>
      <c r="E51" s="15"/>
      <c r="I51" s="15"/>
      <c r="J51" s="15"/>
      <c r="K51" s="15"/>
      <c r="L51" s="15"/>
      <c r="M51" s="20"/>
      <c r="N51" s="15"/>
      <c r="O51" s="15"/>
      <c r="P51" s="15"/>
    </row>
    <row r="52" spans="1:16" ht="15.75" x14ac:dyDescent="0.25">
      <c r="A52" s="12"/>
      <c r="B52" s="4"/>
      <c r="C52" s="15"/>
      <c r="D52" s="15"/>
      <c r="E52" s="15"/>
      <c r="I52" s="15"/>
      <c r="J52" s="15"/>
      <c r="K52" s="15"/>
      <c r="L52" s="15"/>
      <c r="M52" s="15"/>
      <c r="N52" s="15"/>
      <c r="O52" s="15"/>
      <c r="P52" s="15"/>
    </row>
    <row r="53" spans="1:16" ht="15.75" x14ac:dyDescent="0.25">
      <c r="A53" s="12"/>
      <c r="B53" s="4"/>
      <c r="C53" s="15"/>
      <c r="D53" s="15"/>
      <c r="E53" s="15"/>
      <c r="I53" s="15"/>
      <c r="J53" s="15"/>
      <c r="K53" s="15"/>
      <c r="L53" s="15"/>
      <c r="M53" s="15"/>
      <c r="N53" s="15"/>
      <c r="O53" s="15"/>
      <c r="P53" s="15"/>
    </row>
    <row r="54" spans="1:16" ht="18.75" customHeight="1" x14ac:dyDescent="0.25">
      <c r="A54" s="12"/>
      <c r="B54" s="4"/>
      <c r="C54" s="15"/>
      <c r="D54" s="15"/>
      <c r="E54" s="15"/>
      <c r="I54" s="15"/>
      <c r="J54" s="15"/>
      <c r="K54" s="15"/>
      <c r="L54" s="15"/>
      <c r="M54" s="24"/>
      <c r="N54" s="15"/>
      <c r="O54" s="15"/>
      <c r="P54" s="15"/>
    </row>
    <row r="55" spans="1:16" ht="15.75" x14ac:dyDescent="0.25">
      <c r="A55" s="12"/>
      <c r="B55" s="4"/>
      <c r="C55" s="15"/>
      <c r="D55" s="15"/>
      <c r="E55" s="15"/>
      <c r="I55" s="15"/>
      <c r="J55" s="15"/>
      <c r="K55" s="15"/>
      <c r="L55" s="15"/>
      <c r="M55" s="15"/>
      <c r="N55" s="15"/>
      <c r="O55" s="15"/>
      <c r="P55" s="15"/>
    </row>
    <row r="56" spans="1:16" ht="18.75" x14ac:dyDescent="0.3">
      <c r="A56" s="12"/>
      <c r="B56" s="4"/>
      <c r="C56" s="15"/>
      <c r="D56" s="15"/>
      <c r="E56" s="15"/>
      <c r="I56" s="15"/>
      <c r="J56" s="15"/>
      <c r="K56" s="15"/>
      <c r="L56" s="15"/>
      <c r="M56" s="21"/>
      <c r="N56" s="15"/>
      <c r="O56" s="15"/>
      <c r="P56" s="15"/>
    </row>
  </sheetData>
  <mergeCells count="14">
    <mergeCell ref="A1:E1"/>
    <mergeCell ref="H15:I15"/>
    <mergeCell ref="A2:C2"/>
    <mergeCell ref="A3:B3"/>
    <mergeCell ref="A4:B4"/>
    <mergeCell ref="A5:B5"/>
    <mergeCell ref="A6:B6"/>
    <mergeCell ref="A7:B7"/>
    <mergeCell ref="H8:I8"/>
    <mergeCell ref="A16:B16"/>
    <mergeCell ref="A17:B17"/>
    <mergeCell ref="A18:D18"/>
    <mergeCell ref="A19:C19"/>
    <mergeCell ref="C13:E13"/>
  </mergeCells>
  <pageMargins left="1.5" right="0.8" top="1" bottom="1.25" header="0.31496062992125984" footer="0.31496062992125984"/>
  <pageSetup scale="80" orientation="portrait" r:id="rId1"/>
  <colBreaks count="1" manualBreakCount="1">
    <brk id="5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0"/>
  <sheetViews>
    <sheetView workbookViewId="0">
      <selection activeCell="B14" sqref="B14"/>
    </sheetView>
  </sheetViews>
  <sheetFormatPr defaultRowHeight="15" x14ac:dyDescent="0.25"/>
  <cols>
    <col min="1" max="1" width="23.7109375" bestFit="1" customWidth="1"/>
    <col min="2" max="2" width="65.7109375" bestFit="1" customWidth="1"/>
    <col min="3" max="3" width="28.7109375" bestFit="1" customWidth="1"/>
    <col min="6" max="6" width="13.5703125" bestFit="1" customWidth="1"/>
    <col min="10" max="10" width="5" bestFit="1" customWidth="1"/>
  </cols>
  <sheetData>
    <row r="1" spans="1:9" ht="18.75" x14ac:dyDescent="0.35">
      <c r="A1" s="28"/>
      <c r="B1" s="28"/>
      <c r="C1" s="43" t="s">
        <v>91</v>
      </c>
      <c r="D1" s="43"/>
      <c r="E1" s="43"/>
      <c r="F1" s="43"/>
      <c r="G1" s="43"/>
      <c r="H1" s="43"/>
      <c r="I1" s="43"/>
    </row>
    <row r="2" spans="1:9" x14ac:dyDescent="0.25">
      <c r="A2" s="25"/>
      <c r="B2" s="25"/>
      <c r="C2" s="28" t="s">
        <v>71</v>
      </c>
      <c r="D2" s="43" t="s">
        <v>72</v>
      </c>
      <c r="E2" s="43"/>
      <c r="F2" s="43"/>
      <c r="G2" s="43"/>
      <c r="H2" s="43"/>
      <c r="I2" s="43"/>
    </row>
    <row r="3" spans="1:9" x14ac:dyDescent="0.25">
      <c r="A3" s="25"/>
      <c r="B3" s="25"/>
      <c r="C3" s="15"/>
      <c r="D3" s="28">
        <v>15</v>
      </c>
      <c r="E3" s="28">
        <v>20</v>
      </c>
      <c r="F3" s="28">
        <v>25</v>
      </c>
      <c r="G3" s="28">
        <v>30</v>
      </c>
      <c r="H3" s="28">
        <v>35</v>
      </c>
      <c r="I3" s="28">
        <v>40</v>
      </c>
    </row>
    <row r="4" spans="1:9" x14ac:dyDescent="0.25">
      <c r="A4" s="25"/>
      <c r="B4" s="25"/>
      <c r="C4" s="25">
        <v>0.15</v>
      </c>
      <c r="D4" s="25">
        <v>0.28000000000000003</v>
      </c>
      <c r="E4" s="25">
        <v>0.28000000000000003</v>
      </c>
      <c r="F4" s="25">
        <v>0.28999999999999998</v>
      </c>
      <c r="G4" s="25">
        <v>0.28999999999999998</v>
      </c>
      <c r="H4" s="25">
        <v>0.28999999999999998</v>
      </c>
      <c r="I4" s="25">
        <v>0.3</v>
      </c>
    </row>
    <row r="5" spans="1:9" ht="15.75" x14ac:dyDescent="0.25">
      <c r="A5" s="29" t="s">
        <v>92</v>
      </c>
      <c r="B5" s="29" t="s">
        <v>93</v>
      </c>
      <c r="C5" s="25">
        <v>0.25</v>
      </c>
      <c r="D5" s="25">
        <v>0.35</v>
      </c>
      <c r="E5" s="25">
        <v>0.36</v>
      </c>
      <c r="F5" s="25">
        <v>0.36</v>
      </c>
      <c r="G5" s="25">
        <v>0.37</v>
      </c>
      <c r="H5" s="25">
        <v>0.37</v>
      </c>
      <c r="I5" s="25">
        <v>0.38</v>
      </c>
    </row>
    <row r="6" spans="1:9" x14ac:dyDescent="0.25">
      <c r="A6" s="14">
        <v>20</v>
      </c>
      <c r="B6" s="14">
        <v>1.2</v>
      </c>
      <c r="C6" s="25">
        <v>0.5</v>
      </c>
      <c r="D6" s="25">
        <v>0.46</v>
      </c>
      <c r="E6" s="25">
        <v>0.48</v>
      </c>
      <c r="F6" s="25">
        <v>0.49</v>
      </c>
      <c r="G6" s="25">
        <v>0.5</v>
      </c>
      <c r="H6" s="25">
        <v>0.5</v>
      </c>
      <c r="I6" s="25">
        <v>0.51</v>
      </c>
    </row>
    <row r="7" spans="1:9" x14ac:dyDescent="0.25">
      <c r="A7" s="14">
        <v>25</v>
      </c>
      <c r="B7" s="14">
        <v>1.4</v>
      </c>
      <c r="C7" s="25">
        <v>0.75</v>
      </c>
      <c r="D7" s="25">
        <v>0.54</v>
      </c>
      <c r="E7" s="25">
        <v>0.56000000000000005</v>
      </c>
      <c r="F7" s="25">
        <v>0.56999999999999995</v>
      </c>
      <c r="G7" s="25">
        <v>0.59</v>
      </c>
      <c r="H7" s="25">
        <v>0.59</v>
      </c>
      <c r="I7" s="25">
        <v>0.6</v>
      </c>
    </row>
    <row r="8" spans="1:9" x14ac:dyDescent="0.25">
      <c r="A8" s="14">
        <v>30</v>
      </c>
      <c r="B8" s="14">
        <v>1.5</v>
      </c>
      <c r="C8" s="25">
        <v>1</v>
      </c>
      <c r="D8" s="25">
        <v>0.6</v>
      </c>
      <c r="E8" s="25">
        <v>0.62</v>
      </c>
      <c r="F8" s="25">
        <v>0.64</v>
      </c>
      <c r="G8" s="25">
        <v>0.66</v>
      </c>
      <c r="H8" s="25">
        <v>0.67</v>
      </c>
      <c r="I8" s="25">
        <v>0.68</v>
      </c>
    </row>
    <row r="9" spans="1:9" x14ac:dyDescent="0.25">
      <c r="A9" s="14">
        <v>35</v>
      </c>
      <c r="B9" s="14">
        <v>1.7</v>
      </c>
      <c r="C9" s="25">
        <v>1.25</v>
      </c>
      <c r="D9" s="25">
        <v>0.64</v>
      </c>
      <c r="E9" s="25">
        <v>0.67</v>
      </c>
      <c r="F9" s="25">
        <v>0.7</v>
      </c>
      <c r="G9" s="25">
        <v>0.71</v>
      </c>
      <c r="H9" s="25">
        <v>0.73</v>
      </c>
      <c r="I9" s="25">
        <v>0.74</v>
      </c>
    </row>
    <row r="10" spans="1:9" x14ac:dyDescent="0.25">
      <c r="A10" s="14">
        <v>40</v>
      </c>
      <c r="B10" s="14" t="str">
        <f>IF([1]Design!B7&gt;=40,1.9,"")</f>
        <v/>
      </c>
      <c r="C10" s="25">
        <v>1.5</v>
      </c>
      <c r="D10" s="25">
        <v>0.68</v>
      </c>
      <c r="E10" s="25">
        <v>0.72</v>
      </c>
      <c r="F10" s="25">
        <v>0.74</v>
      </c>
      <c r="G10" s="25">
        <v>0.76</v>
      </c>
      <c r="H10" s="25">
        <v>0.78</v>
      </c>
      <c r="I10" s="25">
        <v>0.79</v>
      </c>
    </row>
    <row r="11" spans="1:9" x14ac:dyDescent="0.25">
      <c r="A11" s="25"/>
      <c r="B11" s="25"/>
      <c r="C11" s="25">
        <v>1.75</v>
      </c>
      <c r="D11" s="25">
        <v>0.71</v>
      </c>
      <c r="E11" s="25">
        <v>0.75</v>
      </c>
      <c r="F11" s="25">
        <v>0.78</v>
      </c>
      <c r="G11" s="25">
        <v>0.8</v>
      </c>
      <c r="H11" s="25">
        <v>0.82</v>
      </c>
      <c r="I11" s="25">
        <v>0.84</v>
      </c>
    </row>
    <row r="12" spans="1:9" x14ac:dyDescent="0.25">
      <c r="A12" s="28"/>
      <c r="B12" s="15"/>
      <c r="C12" s="25">
        <v>2</v>
      </c>
      <c r="D12" s="25">
        <v>0.71</v>
      </c>
      <c r="E12" s="25">
        <v>0.79</v>
      </c>
      <c r="F12" s="25">
        <v>0.82</v>
      </c>
      <c r="G12" s="25">
        <v>0.84</v>
      </c>
      <c r="H12" s="25">
        <v>0.86</v>
      </c>
      <c r="I12" s="25">
        <v>0.88</v>
      </c>
    </row>
    <row r="13" spans="1:9" x14ac:dyDescent="0.25">
      <c r="A13" s="25"/>
      <c r="B13" s="25"/>
      <c r="C13" s="25">
        <v>2.25</v>
      </c>
      <c r="D13" s="25">
        <v>0.71</v>
      </c>
      <c r="E13" s="25">
        <v>0.81</v>
      </c>
      <c r="F13" s="25">
        <v>0.85</v>
      </c>
      <c r="G13" s="25">
        <v>0.88</v>
      </c>
      <c r="H13" s="25">
        <v>0.9</v>
      </c>
      <c r="I13" s="25">
        <v>0.92</v>
      </c>
    </row>
    <row r="14" spans="1:9" x14ac:dyDescent="0.25">
      <c r="A14" s="25"/>
      <c r="B14" s="25"/>
      <c r="C14" s="25">
        <v>2.5</v>
      </c>
      <c r="D14" s="25">
        <v>0.71</v>
      </c>
      <c r="E14" s="25">
        <v>0.82</v>
      </c>
      <c r="F14" s="25">
        <v>0.88</v>
      </c>
      <c r="G14" s="25">
        <v>0.91</v>
      </c>
      <c r="H14" s="25">
        <v>0.93</v>
      </c>
      <c r="I14" s="25">
        <v>0.95</v>
      </c>
    </row>
    <row r="15" spans="1:9" x14ac:dyDescent="0.25">
      <c r="A15" s="25"/>
      <c r="B15" s="25"/>
      <c r="C15" s="25">
        <v>2.75</v>
      </c>
      <c r="D15" s="25">
        <v>0.71</v>
      </c>
      <c r="E15" s="25">
        <v>0.82</v>
      </c>
      <c r="F15" s="25">
        <v>0.9</v>
      </c>
      <c r="G15" s="25">
        <v>0.94</v>
      </c>
      <c r="H15" s="25">
        <v>0.96</v>
      </c>
      <c r="I15" s="25">
        <v>0.98</v>
      </c>
    </row>
    <row r="16" spans="1:9" x14ac:dyDescent="0.25">
      <c r="A16" s="15"/>
      <c r="B16" s="15"/>
      <c r="C16" s="25">
        <v>3</v>
      </c>
      <c r="D16" s="25">
        <v>0.71</v>
      </c>
      <c r="E16" s="25">
        <v>0.82</v>
      </c>
      <c r="F16" s="25">
        <v>0.92</v>
      </c>
      <c r="G16" s="25">
        <v>0.96</v>
      </c>
      <c r="H16" s="25">
        <v>0.99</v>
      </c>
      <c r="I16" s="25">
        <v>1.01</v>
      </c>
    </row>
    <row r="17" spans="3:10" x14ac:dyDescent="0.25">
      <c r="C17" s="10"/>
      <c r="D17" s="10"/>
      <c r="E17" s="10"/>
      <c r="F17" s="10"/>
      <c r="G17" s="10"/>
      <c r="H17" s="10"/>
      <c r="I17" s="10"/>
    </row>
    <row r="18" spans="3:10" x14ac:dyDescent="0.25">
      <c r="C18" t="s">
        <v>94</v>
      </c>
    </row>
    <row r="19" spans="3:10" x14ac:dyDescent="0.25">
      <c r="C19" t="s">
        <v>73</v>
      </c>
      <c r="F19" t="s">
        <v>74</v>
      </c>
      <c r="I19" t="s">
        <v>75</v>
      </c>
    </row>
    <row r="20" spans="3:10" x14ac:dyDescent="0.25">
      <c r="C20" t="s">
        <v>71</v>
      </c>
      <c r="D20" t="s">
        <v>95</v>
      </c>
      <c r="F20" t="s">
        <v>71</v>
      </c>
      <c r="G20" t="s">
        <v>95</v>
      </c>
      <c r="I20" t="s">
        <v>71</v>
      </c>
      <c r="J20" t="s">
        <v>95</v>
      </c>
    </row>
    <row r="21" spans="3:10" x14ac:dyDescent="0.25">
      <c r="C21">
        <v>0.25</v>
      </c>
      <c r="D21">
        <f>VLOOKUP(C21,C4:I16,MATCH([1]Design!B7,[1]References!C3:I3,0))</f>
        <v>0.36</v>
      </c>
      <c r="F21">
        <v>0.15</v>
      </c>
      <c r="G21">
        <f>VLOOKUP(F21,C4:I16,MATCH([1]Design!B7,[1]References!C3:I3,0))</f>
        <v>0.28000000000000003</v>
      </c>
      <c r="I21">
        <v>3</v>
      </c>
      <c r="J21">
        <f>VLOOKUP(I21,C4:I16,MATCH([1]Design!B7,[1]References!C3:I3,0))</f>
        <v>0.82</v>
      </c>
    </row>
    <row r="22" spans="3:10" x14ac:dyDescent="0.25">
      <c r="C22">
        <f>[1]Design!E18</f>
        <v>0.12221581011589899</v>
      </c>
      <c r="D22">
        <f>D23-((C23-C22)/(C23-C21))*(D23-D21)</f>
        <v>0.29866358885563149</v>
      </c>
    </row>
    <row r="23" spans="3:10" x14ac:dyDescent="0.25">
      <c r="C23">
        <v>0.5</v>
      </c>
      <c r="D23">
        <f>VLOOKUP(C23,C4:I16,MATCH([1]Design!B7,[1]References!C3:I3,0))</f>
        <v>0.48</v>
      </c>
    </row>
    <row r="25" spans="3:10" x14ac:dyDescent="0.25">
      <c r="C25" t="s">
        <v>96</v>
      </c>
    </row>
    <row r="26" spans="3:10" x14ac:dyDescent="0.25">
      <c r="C26" t="s">
        <v>73</v>
      </c>
      <c r="F26" t="s">
        <v>74</v>
      </c>
      <c r="I26" t="s">
        <v>75</v>
      </c>
    </row>
    <row r="27" spans="3:10" x14ac:dyDescent="0.25">
      <c r="C27" t="s">
        <v>71</v>
      </c>
      <c r="D27" t="s">
        <v>95</v>
      </c>
      <c r="F27" t="s">
        <v>71</v>
      </c>
      <c r="G27" t="s">
        <v>95</v>
      </c>
      <c r="I27" t="s">
        <v>71</v>
      </c>
      <c r="J27" t="s">
        <v>95</v>
      </c>
    </row>
    <row r="28" spans="3:10" x14ac:dyDescent="0.25">
      <c r="C28">
        <v>0.25</v>
      </c>
      <c r="D28">
        <f>VLOOKUP(C28,C4:I16,MATCH([1]Design!B7,[1]References!C3:I3,0))</f>
        <v>0.36</v>
      </c>
      <c r="F28">
        <v>0.15</v>
      </c>
      <c r="G28">
        <f>VLOOKUP(F28,C4:I16,MATCH([1]Design!B7,[1]References!C3:I3,0))</f>
        <v>0.28000000000000003</v>
      </c>
      <c r="I28">
        <v>3</v>
      </c>
      <c r="J28">
        <f>VLOOKUP(I28,C4:I16,MATCH([1]Design!B7,[1]References!C3:I3,0))</f>
        <v>0.82</v>
      </c>
    </row>
    <row r="29" spans="3:10" x14ac:dyDescent="0.25">
      <c r="C29">
        <f>[1]Design!E23</f>
        <v>5.9532354980810782E-2</v>
      </c>
      <c r="D29">
        <f>D30-((C30-C29)/(C30-C28))*(D30-D28)</f>
        <v>0.26857553039078919</v>
      </c>
    </row>
    <row r="30" spans="3:10" x14ac:dyDescent="0.25">
      <c r="C30">
        <v>0.5</v>
      </c>
      <c r="D30">
        <f>VLOOKUP(C30,C4:I16,MATCH([1]Design!B7,[1]References!C3:I3,0))</f>
        <v>0.48</v>
      </c>
    </row>
  </sheetData>
  <mergeCells count="2">
    <mergeCell ref="C1:I1"/>
    <mergeCell ref="D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F16"/>
  <sheetViews>
    <sheetView workbookViewId="0">
      <selection activeCell="A16" sqref="A16"/>
    </sheetView>
  </sheetViews>
  <sheetFormatPr defaultRowHeight="15" x14ac:dyDescent="0.25"/>
  <cols>
    <col min="1" max="1" width="21.28515625" customWidth="1"/>
    <col min="2" max="2" width="20.140625" customWidth="1"/>
    <col min="3" max="3" width="70.7109375" customWidth="1"/>
  </cols>
  <sheetData>
    <row r="5" spans="1:6" ht="15.75" x14ac:dyDescent="0.25">
      <c r="A5" s="29" t="s">
        <v>113</v>
      </c>
      <c r="B5" s="29" t="s">
        <v>112</v>
      </c>
      <c r="C5" s="31" t="s">
        <v>93</v>
      </c>
      <c r="D5" s="31"/>
      <c r="E5" s="31"/>
      <c r="F5" s="31"/>
    </row>
    <row r="6" spans="1:6" x14ac:dyDescent="0.25">
      <c r="B6" s="14">
        <v>12</v>
      </c>
      <c r="C6" s="14">
        <v>1.6</v>
      </c>
    </row>
    <row r="7" spans="1:6" x14ac:dyDescent="0.25">
      <c r="B7" s="14">
        <v>16</v>
      </c>
      <c r="C7" s="14">
        <v>2</v>
      </c>
    </row>
    <row r="8" spans="1:6" x14ac:dyDescent="0.25">
      <c r="A8">
        <v>25</v>
      </c>
      <c r="B8" s="14">
        <v>20</v>
      </c>
      <c r="C8" s="14">
        <v>2.2999999999999998</v>
      </c>
    </row>
    <row r="9" spans="1:6" x14ac:dyDescent="0.25">
      <c r="A9">
        <v>30</v>
      </c>
      <c r="B9" s="14">
        <v>25</v>
      </c>
      <c r="C9" s="14">
        <v>2.7</v>
      </c>
    </row>
    <row r="10" spans="1:6" x14ac:dyDescent="0.25">
      <c r="A10">
        <v>37</v>
      </c>
      <c r="B10" s="14">
        <v>30</v>
      </c>
      <c r="C10" s="14">
        <v>3</v>
      </c>
    </row>
    <row r="11" spans="1:6" x14ac:dyDescent="0.25">
      <c r="A11">
        <v>45</v>
      </c>
      <c r="B11" s="14">
        <v>35</v>
      </c>
      <c r="C11" s="14">
        <v>3.4</v>
      </c>
    </row>
    <row r="12" spans="1:6" x14ac:dyDescent="0.25">
      <c r="A12">
        <v>50</v>
      </c>
      <c r="B12" s="14">
        <v>40</v>
      </c>
      <c r="C12" s="14">
        <v>3.7</v>
      </c>
    </row>
    <row r="13" spans="1:6" x14ac:dyDescent="0.25">
      <c r="A13">
        <v>55</v>
      </c>
      <c r="B13" s="14">
        <v>45</v>
      </c>
      <c r="C13" s="14">
        <v>4</v>
      </c>
    </row>
    <row r="14" spans="1:6" x14ac:dyDescent="0.25">
      <c r="A14">
        <v>60</v>
      </c>
      <c r="B14" s="14">
        <v>50</v>
      </c>
      <c r="C14" s="14">
        <v>4.3</v>
      </c>
    </row>
    <row r="15" spans="1:6" x14ac:dyDescent="0.25">
      <c r="A15">
        <v>75</v>
      </c>
      <c r="B15" s="14">
        <v>60</v>
      </c>
      <c r="C15" s="14">
        <v>4.7</v>
      </c>
    </row>
    <row r="16" spans="1:6" x14ac:dyDescent="0.25">
      <c r="B16" s="14"/>
      <c r="C16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REACTIONS</vt:lpstr>
      <vt:lpstr>design(is 456)</vt:lpstr>
      <vt:lpstr>design irc 112</vt:lpstr>
      <vt:lpstr>reference-456</vt:lpstr>
      <vt:lpstr>reference -112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2021-05-31T09:29:43Z</cp:lastPrinted>
  <dcterms:created xsi:type="dcterms:W3CDTF">2021-01-28T10:58:04Z</dcterms:created>
  <dcterms:modified xsi:type="dcterms:W3CDTF">2021-06-21T08:17:51Z</dcterms:modified>
</cp:coreProperties>
</file>