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project\excels\"/>
    </mc:Choice>
  </mc:AlternateContent>
  <bookViews>
    <workbookView xWindow="0" yWindow="0" windowWidth="20490" windowHeight="7755"/>
  </bookViews>
  <sheets>
    <sheet name="Design" sheetId="1" r:id="rId1"/>
    <sheet name="Final Data" sheetId="3" r:id="rId2"/>
    <sheet name="References" sheetId="2" r:id="rId3"/>
  </sheets>
  <functionGroups builtInGroupCount="18"/>
  <calcPr calcId="152511"/>
</workbook>
</file>

<file path=xl/calcChain.xml><?xml version="1.0" encoding="utf-8"?>
<calcChain xmlns="http://schemas.openxmlformats.org/spreadsheetml/2006/main">
  <c r="B18" i="1" l="1"/>
  <c r="B24" i="1" l="1"/>
  <c r="A28" i="1" s="1"/>
  <c r="AG2" i="2" l="1"/>
  <c r="AF3" i="2" s="1"/>
  <c r="U3" i="2" l="1"/>
  <c r="B14" i="2"/>
  <c r="B13" i="2"/>
  <c r="AF2" i="2" l="1"/>
  <c r="Z5" i="2" s="1"/>
  <c r="AB3" i="2" s="1"/>
  <c r="AO2" i="2"/>
  <c r="K17" i="1"/>
  <c r="K40" i="1"/>
  <c r="K36" i="1"/>
  <c r="L32" i="1"/>
  <c r="H32" i="1"/>
  <c r="AA5" i="2" l="1"/>
  <c r="AD20" i="2"/>
  <c r="AD14" i="2"/>
  <c r="AB5" i="2"/>
  <c r="AD5" i="2"/>
  <c r="AC5" i="2"/>
  <c r="AG8" i="2"/>
  <c r="C3" i="3" s="1"/>
  <c r="AD13" i="2" l="1"/>
  <c r="AA16" i="2"/>
  <c r="AA17" i="2" s="1"/>
  <c r="AD19" i="2"/>
  <c r="AA22" i="2"/>
  <c r="AA23" i="2" s="1"/>
  <c r="AH2" i="2"/>
  <c r="AI2" i="2" s="1"/>
  <c r="B3" i="3" l="1"/>
  <c r="AC8" i="2"/>
  <c r="S23" i="2"/>
  <c r="X2" i="2"/>
  <c r="B20" i="1"/>
  <c r="B22" i="1"/>
  <c r="L7" i="2"/>
  <c r="B6" i="1"/>
  <c r="Q3" i="2" s="1"/>
  <c r="B5" i="1"/>
  <c r="E32" i="1"/>
  <c r="E31" i="1"/>
  <c r="J28" i="2"/>
  <c r="G28" i="2"/>
  <c r="D30" i="2"/>
  <c r="D28" i="2"/>
  <c r="D21" i="2"/>
  <c r="B37" i="1"/>
  <c r="B10" i="2"/>
  <c r="J21" i="2"/>
  <c r="G21" i="2"/>
  <c r="D23" i="2"/>
  <c r="E5" i="1"/>
  <c r="E12" i="1" s="1"/>
  <c r="AA20" i="2" l="1"/>
  <c r="AF8" i="2"/>
  <c r="P3" i="2"/>
  <c r="AA2" i="2" s="1"/>
  <c r="P7" i="2"/>
  <c r="AA14" i="2"/>
  <c r="AE8" i="2"/>
  <c r="AA13" i="2" s="1"/>
  <c r="AD8" i="2"/>
  <c r="AA19" i="2" s="1"/>
  <c r="AB2" i="2"/>
  <c r="AL2" i="2"/>
  <c r="AN2" i="2" s="1"/>
  <c r="S2" i="2"/>
  <c r="U2" i="2"/>
  <c r="T2" i="2"/>
  <c r="AA15" i="2" l="1"/>
  <c r="D3" i="3" s="1"/>
  <c r="V2" i="2"/>
  <c r="AK2" i="2"/>
  <c r="AM2" i="2" s="1"/>
  <c r="AQ2" i="2" s="1"/>
  <c r="C5" i="3" s="1"/>
  <c r="AA21" i="2"/>
  <c r="E3" i="3" s="1"/>
  <c r="AP2" i="2" l="1"/>
  <c r="B5" i="3" s="1"/>
  <c r="Y2" i="2"/>
  <c r="B4" i="3" s="1"/>
  <c r="W2" i="2"/>
  <c r="M3" i="2"/>
  <c r="O3" i="2"/>
  <c r="N3" i="2"/>
  <c r="L3" i="2"/>
  <c r="N7" i="2"/>
  <c r="O7" i="2"/>
  <c r="M7" i="2"/>
  <c r="L13" i="2"/>
  <c r="L16" i="2"/>
  <c r="L12" i="2"/>
  <c r="L17" i="2"/>
  <c r="S22" i="2" l="1"/>
  <c r="Y3" i="2"/>
  <c r="W3" i="2"/>
  <c r="B2" i="3"/>
  <c r="N12" i="2"/>
  <c r="N16" i="2"/>
  <c r="K4" i="2"/>
  <c r="B7" i="1" s="1"/>
  <c r="Y8" i="2"/>
  <c r="C4" i="3" s="1"/>
  <c r="R5" i="2"/>
  <c r="S5" i="2"/>
  <c r="S17" i="2"/>
  <c r="S16" i="2"/>
  <c r="U8" i="2"/>
  <c r="S19" i="2" s="1"/>
  <c r="L18" i="2"/>
  <c r="L14" i="2"/>
  <c r="V13" i="2" l="1"/>
  <c r="V20" i="2"/>
  <c r="X5" i="2"/>
  <c r="V5" i="2"/>
  <c r="N18" i="2"/>
  <c r="E2" i="3" s="1"/>
  <c r="N14" i="2"/>
  <c r="D2" i="3" s="1"/>
  <c r="B25" i="1"/>
  <c r="B26" i="1" s="1"/>
  <c r="B27" i="1"/>
  <c r="T5" i="2"/>
  <c r="U5" i="2" s="1"/>
  <c r="X8" i="2" l="1"/>
  <c r="V8" i="2"/>
  <c r="S20" i="2"/>
  <c r="S13" i="2"/>
  <c r="W5" i="2"/>
  <c r="W8" i="2" s="1"/>
  <c r="S14" i="2" s="1"/>
  <c r="S21" i="2" l="1"/>
  <c r="E4" i="3" s="1"/>
  <c r="B32" i="1" s="1"/>
  <c r="B35" i="1" s="1"/>
  <c r="S15" i="2"/>
  <c r="D4" i="3" s="1"/>
  <c r="B31" i="1" s="1"/>
  <c r="B34" i="1" l="1"/>
  <c r="B3" i="2"/>
  <c r="B2" i="2"/>
  <c r="B33" i="1"/>
  <c r="B36" i="1" l="1"/>
  <c r="B39" i="1" l="1"/>
  <c r="H13" i="1" l="1"/>
  <c r="B15" i="2"/>
  <c r="B40" i="1"/>
  <c r="L36" i="2"/>
  <c r="L46" i="2"/>
  <c r="L40" i="2"/>
  <c r="L45" i="2"/>
  <c r="L25" i="2"/>
  <c r="L22" i="2"/>
  <c r="L31" i="2"/>
  <c r="L30" i="2"/>
  <c r="L35" i="2"/>
  <c r="L41" i="2"/>
  <c r="L26" i="2"/>
  <c r="L21" i="2"/>
  <c r="E15" i="1" l="1"/>
  <c r="D12" i="1" s="1"/>
  <c r="F12" i="1" s="1"/>
  <c r="E8" i="1"/>
  <c r="D5" i="1" s="1"/>
  <c r="F5" i="1" s="1"/>
  <c r="V31" i="2"/>
  <c r="S31" i="2" s="1"/>
  <c r="V30" i="2"/>
  <c r="S30" i="2" s="1"/>
  <c r="V27" i="2"/>
  <c r="S27" i="2" s="1"/>
  <c r="V26" i="2"/>
  <c r="AD26" i="2"/>
  <c r="AA26" i="2" s="1"/>
  <c r="AD35" i="2"/>
  <c r="AA35" i="2" s="1"/>
  <c r="AD31" i="2"/>
  <c r="AA31" i="2" s="1"/>
  <c r="AD37" i="2"/>
  <c r="AA37" i="2" s="1"/>
  <c r="AD36" i="2"/>
  <c r="AA36" i="2" s="1"/>
  <c r="E29" i="1"/>
  <c r="E30" i="1" s="1"/>
  <c r="E33" i="1" s="1"/>
  <c r="AD34" i="2"/>
  <c r="AA34" i="2" s="1"/>
  <c r="AD27" i="2"/>
  <c r="AA27" i="2" s="1"/>
  <c r="AD30" i="2"/>
  <c r="AA30" i="2" s="1"/>
  <c r="S26" i="2"/>
  <c r="V35" i="2"/>
  <c r="S35" i="2" s="1"/>
  <c r="V36" i="2"/>
  <c r="S36" i="2" s="1"/>
  <c r="V37" i="2"/>
  <c r="S37" i="2" s="1"/>
  <c r="V34" i="2"/>
  <c r="S34" i="2" s="1"/>
  <c r="L48" i="2"/>
  <c r="L42" i="2"/>
  <c r="L47" i="2"/>
  <c r="L27" i="2"/>
  <c r="L37" i="2"/>
  <c r="L38" i="2"/>
  <c r="L32" i="2"/>
  <c r="L23" i="2"/>
  <c r="L43" i="2"/>
  <c r="L33" i="2"/>
  <c r="G12" i="1" l="1"/>
  <c r="N9" i="1" s="1"/>
  <c r="G5" i="1"/>
  <c r="M7" i="1" s="1"/>
  <c r="L50" i="2"/>
  <c r="H2" i="3" s="1"/>
  <c r="G2" i="3"/>
  <c r="F2" i="3"/>
  <c r="AA32" i="2"/>
  <c r="G3" i="3" s="1"/>
  <c r="S32" i="2"/>
  <c r="G4" i="3" s="1"/>
  <c r="S38" i="2"/>
  <c r="H4" i="3" s="1"/>
  <c r="S28" i="2"/>
  <c r="F4" i="3" s="1"/>
  <c r="AA38" i="2"/>
  <c r="H3" i="3" s="1"/>
  <c r="AA28" i="2"/>
  <c r="F3" i="3" s="1"/>
  <c r="D8" i="1"/>
  <c r="E19" i="1" s="1"/>
  <c r="D15" i="1"/>
  <c r="O26" i="1" l="1"/>
  <c r="N24" i="1"/>
  <c r="E34" i="1"/>
  <c r="E24" i="1"/>
  <c r="C29" i="2" s="1"/>
  <c r="D29" i="2" s="1"/>
  <c r="E25" i="1" s="1"/>
  <c r="C22" i="2"/>
  <c r="D22" i="2" s="1"/>
  <c r="E20" i="1" s="1"/>
  <c r="E21" i="1" l="1"/>
  <c r="E26" i="1"/>
</calcChain>
</file>

<file path=xl/sharedStrings.xml><?xml version="1.0" encoding="utf-8"?>
<sst xmlns="http://schemas.openxmlformats.org/spreadsheetml/2006/main" count="314" uniqueCount="192">
  <si>
    <t>Size of column</t>
  </si>
  <si>
    <t>Dimension of footing</t>
  </si>
  <si>
    <t>Load factor</t>
  </si>
  <si>
    <t>Depth of footing</t>
  </si>
  <si>
    <t>Moment about x axis (Mx) (KNm)</t>
  </si>
  <si>
    <t>Moment about y axis (My) (KNm)</t>
  </si>
  <si>
    <t>Moment used for design</t>
  </si>
  <si>
    <r>
      <t>SBC (KN/m</t>
    </r>
    <r>
      <rPr>
        <vertAlign val="superscript"/>
        <sz val="12"/>
        <color theme="1"/>
        <rFont val="Times New Roman"/>
        <family val="1"/>
      </rPr>
      <t xml:space="preserve">2 </t>
    </r>
    <r>
      <rPr>
        <sz val="12"/>
        <color theme="1"/>
        <rFont val="Times New Roman"/>
        <family val="1"/>
      </rPr>
      <t>)</t>
    </r>
  </si>
  <si>
    <r>
      <t>Diameter of column main reinforcement φ</t>
    </r>
    <r>
      <rPr>
        <vertAlign val="subscript"/>
        <sz val="12"/>
        <color theme="1"/>
        <rFont val="Times New Roman"/>
        <family val="1"/>
      </rPr>
      <t>1</t>
    </r>
    <r>
      <rPr>
        <sz val="12"/>
        <color theme="1"/>
        <rFont val="Times New Roman"/>
        <family val="1"/>
      </rPr>
      <t xml:space="preserve"> (mm)</t>
    </r>
  </si>
  <si>
    <r>
      <t>Development length (L</t>
    </r>
    <r>
      <rPr>
        <vertAlign val="subscript"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>)</t>
    </r>
  </si>
  <si>
    <r>
      <t>Diameter of footing reinforcement φ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 (mm)</t>
    </r>
  </si>
  <si>
    <r>
      <t>(Pz)</t>
    </r>
    <r>
      <rPr>
        <vertAlign val="subscript"/>
        <sz val="12"/>
        <color theme="1"/>
        <rFont val="Times New Roman"/>
        <family val="1"/>
      </rPr>
      <t xml:space="preserve">working </t>
    </r>
    <r>
      <rPr>
        <sz val="12"/>
        <color theme="1"/>
        <rFont val="Times New Roman"/>
        <family val="1"/>
      </rPr>
      <t>(KN)</t>
    </r>
  </si>
  <si>
    <t>Clear cover for footing (mm)</t>
  </si>
  <si>
    <r>
      <t>Effective depth (d)</t>
    </r>
    <r>
      <rPr>
        <vertAlign val="subscript"/>
        <sz val="12"/>
        <color theme="1"/>
        <rFont val="Times New Roman"/>
        <family val="1"/>
      </rPr>
      <t>obtained</t>
    </r>
  </si>
  <si>
    <r>
      <t>Effective depth (d)</t>
    </r>
    <r>
      <rPr>
        <vertAlign val="subscript"/>
        <sz val="12"/>
        <color theme="1"/>
        <rFont val="Times New Roman"/>
        <family val="1"/>
      </rPr>
      <t xml:space="preserve">required </t>
    </r>
    <r>
      <rPr>
        <sz val="12"/>
        <color theme="1"/>
        <rFont val="Times New Roman"/>
        <family val="1"/>
      </rPr>
      <t>(mm)</t>
    </r>
  </si>
  <si>
    <r>
      <t>Grade of concrete (fck)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) </t>
    </r>
  </si>
  <si>
    <r>
      <t>Grade of steel (fy)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) </t>
    </r>
  </si>
  <si>
    <r>
      <t>Total depth (D)</t>
    </r>
    <r>
      <rPr>
        <vertAlign val="subscript"/>
        <sz val="12"/>
        <color theme="1"/>
        <rFont val="Times New Roman"/>
        <family val="1"/>
      </rPr>
      <t>provided</t>
    </r>
    <r>
      <rPr>
        <sz val="12"/>
        <color theme="1"/>
        <rFont val="Times New Roman"/>
        <family val="1"/>
      </rPr>
      <t xml:space="preserve"> (mm)</t>
    </r>
  </si>
  <si>
    <t>Steel provided</t>
  </si>
  <si>
    <t>Number of bars</t>
  </si>
  <si>
    <t>Data for Ast calculation</t>
  </si>
  <si>
    <t>Spacing (mm)</t>
  </si>
  <si>
    <r>
      <t>Steel required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</si>
  <si>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Area of one bar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</si>
  <si>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Steel provided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</si>
  <si>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pt%</t>
  </si>
  <si>
    <r>
      <t>Design shear strength of concrete,τ</t>
    </r>
    <r>
      <rPr>
        <b/>
        <vertAlign val="subscript"/>
        <sz val="11"/>
        <color theme="1"/>
        <rFont val="Times New Roman"/>
        <family val="1"/>
      </rPr>
      <t>c</t>
    </r>
    <r>
      <rPr>
        <b/>
        <sz val="11"/>
        <color theme="1"/>
        <rFont val="Times New Roman"/>
        <family val="1"/>
      </rPr>
      <t>, (N/mm</t>
    </r>
    <r>
      <rPr>
        <b/>
        <vertAlign val="super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)</t>
    </r>
  </si>
  <si>
    <t>fck</t>
  </si>
  <si>
    <t>For 0.15&lt; pt% &lt;3</t>
  </si>
  <si>
    <t xml:space="preserve"> For pt% &lt;= 0.15</t>
  </si>
  <si>
    <t xml:space="preserve"> For pt% &gt;= 3</t>
  </si>
  <si>
    <r>
      <t>τ</t>
    </r>
    <r>
      <rPr>
        <vertAlign val="subscript"/>
        <sz val="12"/>
        <color theme="1"/>
        <rFont val="Times New Roman"/>
        <family val="1"/>
      </rPr>
      <t xml:space="preserve">c  </t>
    </r>
    <r>
      <rPr>
        <sz val="12"/>
        <color theme="1"/>
        <rFont val="Times New Roman"/>
        <family val="1"/>
      </rPr>
      <t>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</si>
  <si>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One way shear</t>
  </si>
  <si>
    <t>In x direction</t>
  </si>
  <si>
    <t>Steel percent (pt%)</t>
  </si>
  <si>
    <t>In Y direction</t>
  </si>
  <si>
    <t>In X direction</t>
  </si>
  <si>
    <r>
      <t>Interpolation for X direction for τ</t>
    </r>
    <r>
      <rPr>
        <vertAlign val="subscript"/>
        <sz val="10"/>
        <color theme="1"/>
        <rFont val="Times New Roman"/>
        <family val="1"/>
      </rPr>
      <t>c</t>
    </r>
  </si>
  <si>
    <r>
      <t>τ</t>
    </r>
    <r>
      <rPr>
        <vertAlign val="subscript"/>
        <sz val="10"/>
        <color theme="1"/>
        <rFont val="Times New Roman"/>
        <family val="1"/>
      </rPr>
      <t>c</t>
    </r>
  </si>
  <si>
    <r>
      <t>Interpolation for Y direction for τ</t>
    </r>
    <r>
      <rPr>
        <vertAlign val="subscript"/>
        <sz val="10"/>
        <color theme="1"/>
        <rFont val="Times New Roman"/>
        <family val="1"/>
      </rPr>
      <t>c</t>
    </r>
  </si>
  <si>
    <r>
      <t>Grade of steel (N/mm</t>
    </r>
    <r>
      <rPr>
        <b/>
        <vertAlign val="super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)</t>
    </r>
  </si>
  <si>
    <r>
      <t>(Depth)</t>
    </r>
    <r>
      <rPr>
        <b/>
        <vertAlign val="subscript"/>
        <sz val="11"/>
        <color theme="1"/>
        <rFont val="Times New Roman"/>
        <family val="1"/>
      </rPr>
      <t>required</t>
    </r>
    <r>
      <rPr>
        <b/>
        <sz val="11"/>
        <color theme="1"/>
        <rFont val="Times New Roman"/>
        <family val="1"/>
      </rPr>
      <t xml:space="preserve"> (mm)</t>
    </r>
  </si>
  <si>
    <r>
      <t>(fck), (N/mm</t>
    </r>
    <r>
      <rPr>
        <b/>
        <vertAlign val="superscript"/>
        <sz val="10"/>
        <color theme="1"/>
        <rFont val="Times New Roman"/>
        <family val="1"/>
      </rPr>
      <t>2</t>
    </r>
    <r>
      <rPr>
        <b/>
        <sz val="10"/>
        <color theme="1"/>
        <rFont val="Times New Roman"/>
        <family val="1"/>
      </rPr>
      <t xml:space="preserve">) </t>
    </r>
  </si>
  <si>
    <r>
      <t>Design bond stress in limit state method for plain bars in tension(τ</t>
    </r>
    <r>
      <rPr>
        <b/>
        <vertAlign val="subscript"/>
        <sz val="10"/>
        <color theme="1"/>
        <rFont val="Times New Roman"/>
        <family val="1"/>
      </rPr>
      <t>bd</t>
    </r>
    <r>
      <rPr>
        <b/>
        <sz val="10"/>
        <color theme="1"/>
        <rFont val="Times New Roman"/>
        <family val="1"/>
      </rPr>
      <t>) (N/mm</t>
    </r>
    <r>
      <rPr>
        <b/>
        <vertAlign val="superscript"/>
        <sz val="10"/>
        <color theme="1"/>
        <rFont val="Times New Roman"/>
        <family val="1"/>
      </rPr>
      <t>2</t>
    </r>
    <r>
      <rPr>
        <b/>
        <sz val="10"/>
        <color theme="1"/>
        <rFont val="Times New Roman"/>
        <family val="1"/>
      </rPr>
      <t>)</t>
    </r>
  </si>
  <si>
    <r>
      <t>(d)</t>
    </r>
    <r>
      <rPr>
        <vertAlign val="subscript"/>
        <sz val="11"/>
        <color theme="1"/>
        <rFont val="Times New Roman"/>
        <family val="1"/>
      </rPr>
      <t>provided</t>
    </r>
    <r>
      <rPr>
        <sz val="11"/>
        <color theme="1"/>
        <rFont val="Times New Roman"/>
        <family val="1"/>
      </rPr>
      <t xml:space="preserve"> (mm)</t>
    </r>
  </si>
  <si>
    <t>Two way shear</t>
  </si>
  <si>
    <t>Permissible shear (N)</t>
  </si>
  <si>
    <r>
      <t>k</t>
    </r>
    <r>
      <rPr>
        <vertAlign val="subscript"/>
        <sz val="12"/>
        <color theme="1"/>
        <rFont val="Times New Roman"/>
        <family val="1"/>
      </rPr>
      <t>s</t>
    </r>
  </si>
  <si>
    <t>Perimeter of critical section (mm)</t>
  </si>
  <si>
    <r>
      <t>Area of critical section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</si>
  <si>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Shear (KN)</t>
  </si>
  <si>
    <t>In y direction</t>
  </si>
  <si>
    <t>Moment about X axis (Mx') (KNm)</t>
  </si>
  <si>
    <t>Moment about Y axis (My') (KNm)</t>
  </si>
  <si>
    <t>X direction (m)</t>
  </si>
  <si>
    <t>Y direction (m)</t>
  </si>
  <si>
    <t>Limits</t>
  </si>
  <si>
    <r>
      <t>Eccentricity in X direction e</t>
    </r>
    <r>
      <rPr>
        <vertAlign val="subscript"/>
        <sz val="12"/>
        <color theme="1"/>
        <rFont val="Times New Roman"/>
        <family val="1"/>
      </rPr>
      <t>L</t>
    </r>
    <r>
      <rPr>
        <sz val="12"/>
        <color theme="1"/>
        <rFont val="Times New Roman"/>
        <family val="1"/>
      </rPr>
      <t xml:space="preserve"> (m)</t>
    </r>
  </si>
  <si>
    <r>
      <t>Eccentricity in Y direction e</t>
    </r>
    <r>
      <rPr>
        <vertAlign val="subscript"/>
        <sz val="12"/>
        <color theme="1"/>
        <rFont val="Times New Roman"/>
        <family val="1"/>
      </rPr>
      <t>B</t>
    </r>
    <r>
      <rPr>
        <sz val="12"/>
        <color theme="1"/>
        <rFont val="Times New Roman"/>
        <family val="1"/>
      </rPr>
      <t xml:space="preserve"> (m)</t>
    </r>
  </si>
  <si>
    <t>L/6 (m)</t>
  </si>
  <si>
    <t>B/6 (m)</t>
  </si>
  <si>
    <t>L/4 (m)</t>
  </si>
  <si>
    <t>B/4 (m)</t>
  </si>
  <si>
    <t>Case finder</t>
  </si>
  <si>
    <t>Eccentricity type</t>
  </si>
  <si>
    <r>
      <t>Concentrated load</t>
    </r>
    <r>
      <rPr>
        <vertAlign val="subscript"/>
        <sz val="11"/>
        <color theme="1"/>
        <rFont val="Calibri"/>
        <family val="2"/>
        <scheme val="minor"/>
      </rPr>
      <t>factored</t>
    </r>
    <r>
      <rPr>
        <sz val="11"/>
        <color theme="1"/>
        <rFont val="Calibri"/>
        <family val="2"/>
        <scheme val="minor"/>
      </rPr>
      <t xml:space="preserve"> (KN)</t>
    </r>
  </si>
  <si>
    <r>
      <t>Q</t>
    </r>
    <r>
      <rPr>
        <vertAlign val="subscript"/>
        <sz val="11"/>
        <color theme="1"/>
        <rFont val="Times New Roman"/>
        <family val="1"/>
      </rPr>
      <t>max</t>
    </r>
    <r>
      <rPr>
        <sz val="11"/>
        <color theme="1"/>
        <rFont val="Times New Roman"/>
        <family val="1"/>
      </rPr>
      <t xml:space="preserve"> (KN/m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</si>
  <si>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r>
      <t>Q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(KN/m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</si>
  <si>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r>
      <t>Q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(KN/m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</si>
  <si>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r>
      <t>Q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 xml:space="preserve"> (KN/m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</si>
  <si>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r>
      <t>e</t>
    </r>
    <r>
      <rPr>
        <vertAlign val="subscript"/>
        <sz val="10"/>
        <color theme="1"/>
        <rFont val="Times New Roman"/>
        <family val="1"/>
      </rPr>
      <t xml:space="preserve">L </t>
    </r>
    <r>
      <rPr>
        <sz val="10"/>
        <color theme="1"/>
        <rFont val="Times New Roman"/>
        <family val="1"/>
      </rPr>
      <t>(m)</t>
    </r>
  </si>
  <si>
    <r>
      <t>e</t>
    </r>
    <r>
      <rPr>
        <vertAlign val="subscript"/>
        <sz val="10"/>
        <color theme="1"/>
        <rFont val="Times New Roman"/>
        <family val="1"/>
      </rPr>
      <t>B</t>
    </r>
    <r>
      <rPr>
        <sz val="10"/>
        <color theme="1"/>
        <rFont val="Times New Roman"/>
        <family val="1"/>
      </rPr>
      <t xml:space="preserve"> (m)</t>
    </r>
  </si>
  <si>
    <t>q3</t>
  </si>
  <si>
    <t>q4</t>
  </si>
  <si>
    <t>q5</t>
  </si>
  <si>
    <t>Value of projection (L') (m)</t>
  </si>
  <si>
    <t>Value of length (L) (m)</t>
  </si>
  <si>
    <t>Value of projection (B') (m)</t>
  </si>
  <si>
    <t>Value of width (B) (m)</t>
  </si>
  <si>
    <t>Case 1</t>
  </si>
  <si>
    <t>For one way shear</t>
  </si>
  <si>
    <t xml:space="preserve">For moment </t>
  </si>
  <si>
    <t>For two way shear</t>
  </si>
  <si>
    <t xml:space="preserve">q3 </t>
  </si>
  <si>
    <t xml:space="preserve">q4 </t>
  </si>
  <si>
    <t xml:space="preserve">q1 </t>
  </si>
  <si>
    <t xml:space="preserve">q2 </t>
  </si>
  <si>
    <r>
      <t xml:space="preserve"> Pressure intensity at critical sections (KN/m</t>
    </r>
    <r>
      <rPr>
        <b/>
        <vertAlign val="super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)</t>
    </r>
  </si>
  <si>
    <t>q1'</t>
  </si>
  <si>
    <t>q2'</t>
  </si>
  <si>
    <t>q3'</t>
  </si>
  <si>
    <t>q4'</t>
  </si>
  <si>
    <t>q6</t>
  </si>
  <si>
    <t>q5'</t>
  </si>
  <si>
    <t>q6'</t>
  </si>
  <si>
    <t>q7</t>
  </si>
  <si>
    <t>q8</t>
  </si>
  <si>
    <t>q7'</t>
  </si>
  <si>
    <t>q8'</t>
  </si>
  <si>
    <r>
      <t>q</t>
    </r>
    <r>
      <rPr>
        <vertAlign val="subscript"/>
        <sz val="11"/>
        <color theme="1"/>
        <rFont val="Times New Roman"/>
        <family val="1"/>
      </rPr>
      <t>avg</t>
    </r>
  </si>
  <si>
    <r>
      <t>q</t>
    </r>
    <r>
      <rPr>
        <vertAlign val="subscript"/>
        <sz val="11"/>
        <color theme="1"/>
        <rFont val="Times New Roman"/>
        <family val="1"/>
      </rPr>
      <t>avg</t>
    </r>
    <r>
      <rPr>
        <sz val="11"/>
        <color theme="1"/>
        <rFont val="Times New Roman"/>
        <family val="1"/>
      </rPr>
      <t xml:space="preserve"> </t>
    </r>
  </si>
  <si>
    <t>Case 3</t>
  </si>
  <si>
    <t>R (m)</t>
  </si>
  <si>
    <t>M (m)</t>
  </si>
  <si>
    <t xml:space="preserve">N (m) </t>
  </si>
  <si>
    <t>H_rotation</t>
  </si>
  <si>
    <t>Q1</t>
  </si>
  <si>
    <t>Q2</t>
  </si>
  <si>
    <t>Q3</t>
  </si>
  <si>
    <r>
      <t>(KN/m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)</t>
    </r>
  </si>
  <si>
    <t>x (m)</t>
  </si>
  <si>
    <t>y (m)</t>
  </si>
  <si>
    <t>dmax (m)</t>
  </si>
  <si>
    <t>d1 (m)</t>
  </si>
  <si>
    <t>d3 (m)</t>
  </si>
  <si>
    <t>d2 (m)</t>
  </si>
  <si>
    <t xml:space="preserve">Qmax </t>
  </si>
  <si>
    <t>D (m)</t>
  </si>
  <si>
    <t>A (m)</t>
  </si>
  <si>
    <t xml:space="preserve">Upward intensities at </t>
  </si>
  <si>
    <r>
      <t>q</t>
    </r>
    <r>
      <rPr>
        <vertAlign val="subscript"/>
        <sz val="11"/>
        <color theme="1"/>
        <rFont val="Times New Roman"/>
        <family val="1"/>
      </rPr>
      <t xml:space="preserve">avg </t>
    </r>
  </si>
  <si>
    <t xml:space="preserve">Lever arm (m) </t>
  </si>
  <si>
    <r>
      <t>Area (m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</si>
  <si>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t>Note: Trapezoidal area neglected</t>
  </si>
  <si>
    <t>Note: Triangular area neglected</t>
  </si>
  <si>
    <r>
      <t>d3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 xml:space="preserve"> (m)</t>
    </r>
  </si>
  <si>
    <r>
      <t>d2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 xml:space="preserve"> (m)</t>
    </r>
  </si>
  <si>
    <r>
      <t>d1</t>
    </r>
    <r>
      <rPr>
        <vertAlign val="subscript"/>
        <sz val="11"/>
        <color theme="1"/>
        <rFont val="Times New Roman"/>
        <family val="1"/>
      </rPr>
      <t>tws</t>
    </r>
    <r>
      <rPr>
        <sz val="11"/>
        <color theme="1"/>
        <rFont val="Times New Roman"/>
        <family val="1"/>
      </rPr>
      <t xml:space="preserve"> (m)</t>
    </r>
  </si>
  <si>
    <r>
      <t>d2</t>
    </r>
    <r>
      <rPr>
        <vertAlign val="subscript"/>
        <sz val="11"/>
        <color theme="1"/>
        <rFont val="Times New Roman"/>
        <family val="1"/>
      </rPr>
      <t>tws</t>
    </r>
    <r>
      <rPr>
        <sz val="11"/>
        <color theme="1"/>
        <rFont val="Times New Roman"/>
        <family val="1"/>
      </rPr>
      <t xml:space="preserve"> (m)</t>
    </r>
  </si>
  <si>
    <r>
      <t>d3</t>
    </r>
    <r>
      <rPr>
        <vertAlign val="subscript"/>
        <sz val="11"/>
        <color theme="1"/>
        <rFont val="Times New Roman"/>
        <family val="1"/>
      </rPr>
      <t>tws</t>
    </r>
    <r>
      <rPr>
        <sz val="11"/>
        <color theme="1"/>
        <rFont val="Times New Roman"/>
        <family val="1"/>
      </rPr>
      <t xml:space="preserve"> (m)</t>
    </r>
  </si>
  <si>
    <r>
      <t>d4</t>
    </r>
    <r>
      <rPr>
        <vertAlign val="subscript"/>
        <sz val="11"/>
        <color theme="1"/>
        <rFont val="Times New Roman"/>
        <family val="1"/>
      </rPr>
      <t>tws</t>
    </r>
    <r>
      <rPr>
        <sz val="11"/>
        <color theme="1"/>
        <rFont val="Times New Roman"/>
        <family val="1"/>
      </rPr>
      <t xml:space="preserve"> (m)</t>
    </r>
  </si>
  <si>
    <r>
      <t>d3</t>
    </r>
    <r>
      <rPr>
        <vertAlign val="subscript"/>
        <sz val="11"/>
        <color theme="1"/>
        <rFont val="Times New Roman"/>
        <family val="1"/>
      </rPr>
      <t>ows</t>
    </r>
    <r>
      <rPr>
        <sz val="11"/>
        <color theme="1"/>
        <rFont val="Times New Roman"/>
        <family val="1"/>
      </rPr>
      <t xml:space="preserve"> (m)</t>
    </r>
  </si>
  <si>
    <r>
      <t>d2</t>
    </r>
    <r>
      <rPr>
        <vertAlign val="subscript"/>
        <sz val="11"/>
        <color theme="1"/>
        <rFont val="Times New Roman"/>
        <family val="1"/>
      </rPr>
      <t>ows</t>
    </r>
    <r>
      <rPr>
        <sz val="11"/>
        <color theme="1"/>
        <rFont val="Times New Roman"/>
        <family val="1"/>
      </rPr>
      <t xml:space="preserve"> (m)</t>
    </r>
  </si>
  <si>
    <r>
      <t>d4</t>
    </r>
    <r>
      <rPr>
        <vertAlign val="subscript"/>
        <sz val="11"/>
        <color theme="1"/>
        <rFont val="Times New Roman"/>
        <family val="1"/>
      </rPr>
      <t>ows</t>
    </r>
    <r>
      <rPr>
        <sz val="11"/>
        <color theme="1"/>
        <rFont val="Times New Roman"/>
        <family val="1"/>
      </rPr>
      <t xml:space="preserve"> (m)</t>
    </r>
  </si>
  <si>
    <r>
      <t>d1</t>
    </r>
    <r>
      <rPr>
        <vertAlign val="subscript"/>
        <sz val="11"/>
        <color theme="1"/>
        <rFont val="Times New Roman"/>
        <family val="1"/>
      </rPr>
      <t>ows</t>
    </r>
    <r>
      <rPr>
        <sz val="11"/>
        <color theme="1"/>
        <rFont val="Times New Roman"/>
        <family val="1"/>
      </rPr>
      <t xml:space="preserve"> (m)</t>
    </r>
  </si>
  <si>
    <t xml:space="preserve">Case 2 </t>
  </si>
  <si>
    <r>
      <rPr>
        <sz val="9"/>
        <color theme="1"/>
        <rFont val="Times New Roman"/>
        <family val="1"/>
      </rPr>
      <t>Conc. load</t>
    </r>
    <r>
      <rPr>
        <vertAlign val="subscript"/>
        <sz val="9"/>
        <color theme="1"/>
        <rFont val="Times New Roman"/>
        <family val="1"/>
      </rPr>
      <t>factored</t>
    </r>
    <r>
      <rPr>
        <sz val="9"/>
        <color theme="1"/>
        <rFont val="Times New Roman"/>
        <family val="1"/>
      </rPr>
      <t xml:space="preserve"> (KN)</t>
    </r>
  </si>
  <si>
    <t>K</t>
  </si>
  <si>
    <t>x</t>
  </si>
  <si>
    <t>y</t>
  </si>
  <si>
    <r>
      <t>e</t>
    </r>
    <r>
      <rPr>
        <vertAlign val="subscript"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/L</t>
    </r>
  </si>
  <si>
    <r>
      <t>e</t>
    </r>
    <r>
      <rPr>
        <vertAlign val="subscript"/>
        <sz val="11"/>
        <color theme="1"/>
        <rFont val="Times New Roman"/>
        <family val="1"/>
      </rPr>
      <t>B</t>
    </r>
    <r>
      <rPr>
        <sz val="11"/>
        <color theme="1"/>
        <rFont val="Times New Roman"/>
        <family val="1"/>
      </rPr>
      <t>/L</t>
    </r>
  </si>
  <si>
    <r>
      <t>Conc. load</t>
    </r>
    <r>
      <rPr>
        <vertAlign val="subscript"/>
        <sz val="9"/>
        <color theme="1"/>
        <rFont val="Times New Roman"/>
        <family val="1"/>
      </rPr>
      <t>factored</t>
    </r>
    <r>
      <rPr>
        <sz val="9"/>
        <color theme="1"/>
        <rFont val="Times New Roman"/>
        <family val="1"/>
      </rPr>
      <t xml:space="preserve"> (KN)</t>
    </r>
  </si>
  <si>
    <t xml:space="preserve">Reinforcement Detailing </t>
  </si>
  <si>
    <t>SECTION ELEVATION</t>
  </si>
  <si>
    <t>PLAN</t>
  </si>
  <si>
    <t>Case 4</t>
  </si>
  <si>
    <t>G</t>
  </si>
  <si>
    <t>H</t>
  </si>
  <si>
    <t>4G</t>
  </si>
  <si>
    <t>4H</t>
  </si>
  <si>
    <t>xL</t>
  </si>
  <si>
    <t>yB</t>
  </si>
  <si>
    <t>Case</t>
  </si>
  <si>
    <t>Case 2</t>
  </si>
  <si>
    <r>
      <t>Max. Pressure at the base (KN/m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</si>
  <si>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Lift off area (m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) </t>
    </r>
  </si>
  <si>
    <t>Lift off (%)</t>
  </si>
  <si>
    <t>Lift off Area</t>
  </si>
  <si>
    <t>Design Provided</t>
  </si>
  <si>
    <r>
      <t>Nominal shear stress τ</t>
    </r>
    <r>
      <rPr>
        <vertAlign val="subscript"/>
        <sz val="12"/>
        <color theme="1"/>
        <rFont val="Times New Roman"/>
        <family val="1"/>
      </rPr>
      <t>VX</t>
    </r>
    <r>
      <rPr>
        <sz val="12"/>
        <color theme="1"/>
        <rFont val="Times New Roman"/>
        <family val="1"/>
      </rPr>
      <t xml:space="preserve">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</si>
  <si>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Nominal shear stress τ</t>
    </r>
    <r>
      <rPr>
        <vertAlign val="subscript"/>
        <sz val="12"/>
        <color theme="1"/>
        <rFont val="Times New Roman"/>
        <family val="1"/>
      </rPr>
      <t>VY</t>
    </r>
    <r>
      <rPr>
        <sz val="12"/>
        <color theme="1"/>
        <rFont val="Times New Roman"/>
        <family val="1"/>
      </rPr>
      <t xml:space="preserve">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</si>
  <si>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H_angle</t>
  </si>
  <si>
    <r>
      <t>d4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 xml:space="preserve"> (m)</t>
    </r>
  </si>
  <si>
    <t>Note:</t>
  </si>
  <si>
    <r>
      <t>d1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 xml:space="preserve"> (m)</t>
    </r>
  </si>
  <si>
    <t>Design valid for &gt;=12.5% Lift off</t>
  </si>
  <si>
    <t>Longitudinal</t>
  </si>
  <si>
    <t>Transverse</t>
  </si>
  <si>
    <t>Width for Mx (m)</t>
  </si>
  <si>
    <t>Width for My (m)</t>
  </si>
  <si>
    <r>
      <t>q</t>
    </r>
    <r>
      <rPr>
        <vertAlign val="subscript"/>
        <sz val="11"/>
        <color theme="1"/>
        <rFont val="Times New Roman"/>
        <family val="1"/>
      </rPr>
      <t xml:space="preserve">avg1 </t>
    </r>
  </si>
  <si>
    <t>qavg2</t>
  </si>
  <si>
    <t>qavg</t>
  </si>
  <si>
    <t xml:space="preserve">qavg1 </t>
  </si>
  <si>
    <t>NOT CALCULATED</t>
  </si>
  <si>
    <t>xco</t>
  </si>
  <si>
    <t>y co</t>
  </si>
  <si>
    <t>constant</t>
  </si>
  <si>
    <t>yco</t>
  </si>
  <si>
    <t>d3(m)</t>
  </si>
  <si>
    <t>C</t>
  </si>
  <si>
    <t>Minimum area of steel</t>
  </si>
  <si>
    <t xml:space="preserve">Biaxial Spread foundations </t>
  </si>
  <si>
    <t>Area of footing required(m^2)</t>
  </si>
  <si>
    <r>
      <t>τ</t>
    </r>
    <r>
      <rPr>
        <vertAlign val="subscript"/>
        <sz val="12"/>
        <color theme="1"/>
        <rFont val="Times New Roman"/>
        <family val="1"/>
      </rPr>
      <t>c</t>
    </r>
  </si>
  <si>
    <r>
      <t>Max. Pressure at the base (kN/m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</si>
  <si>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Moment about x axis (Mx) (kNm)</t>
  </si>
  <si>
    <t>Moment about y axis (My) (kNm)</t>
  </si>
  <si>
    <t>Moment about x axis(kNm)</t>
  </si>
  <si>
    <t>Moment about y axis (kNm)</t>
  </si>
  <si>
    <t>Shear (kN)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</si>
</sst>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0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rgb="FF3F3F3F"/>
      <name val="Times New Roman"/>
      <family val="1"/>
    </font>
    <font>
      <vertAlign val="superscript"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b/>
      <sz val="12"/>
      <color rgb="FFFA7D00"/>
      <name val="Times New Roman"/>
      <family val="1"/>
    </font>
    <font>
      <b/>
      <sz val="12"/>
      <color rgb="FF3F3F3F"/>
      <name val="Times New Roman"/>
      <family val="1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jmes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color rgb="FF3F3F76"/>
      <name val="Times New Roman"/>
      <family val="1"/>
    </font>
    <font>
      <b/>
      <sz val="10"/>
      <color rgb="FFFA7D00"/>
      <name val="Times New Roman"/>
      <family val="1"/>
    </font>
    <font>
      <b/>
      <sz val="10"/>
      <color rgb="FF3F3F3F"/>
      <name val="Times New Roman"/>
      <family val="1"/>
    </font>
    <font>
      <b/>
      <vertAlign val="superscript"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vertAlign val="superscript"/>
      <sz val="10"/>
      <color theme="1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vertAlign val="subscript"/>
      <sz val="9"/>
      <color theme="1"/>
      <name val="Times New Roman"/>
      <family val="1"/>
    </font>
    <font>
      <sz val="11"/>
      <color rgb="FF3F3F76"/>
      <name val="Times New Roman"/>
      <family val="1"/>
    </font>
    <font>
      <b/>
      <u/>
      <sz val="14"/>
      <color theme="1"/>
      <name val="Times New Roman"/>
      <family val="1"/>
    </font>
    <font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/>
      <top/>
      <bottom/>
      <diagonal/>
    </border>
    <border>
      <left style="thin">
        <color rgb="FF7F7F7F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</borders>
  <cellStyleXfs count="5">
    <xf numFmtId="0" fontId="0" fillId="0" borderId="0"/>
    <xf numFmtId="0" fontId="3" fillId="2" borderId="1" applyNumberFormat="0" applyAlignment="0" applyProtection="0"/>
    <xf numFmtId="0" fontId="4" fillId="3" borderId="2" applyNumberFormat="0" applyAlignment="0" applyProtection="0"/>
    <xf numFmtId="0" fontId="5" fillId="3" borderId="1" applyNumberFormat="0" applyAlignment="0" applyProtection="0"/>
    <xf numFmtId="0" fontId="2" fillId="4" borderId="3" applyNumberFormat="0" applyFont="0" applyAlignment="0" applyProtection="0"/>
  </cellStyleXfs>
  <cellXfs count="73">
    <xf numFmtId="0" fontId="0" fillId="0" borderId="0" xfId="0"/>
    <xf numFmtId="0" fontId="6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Fill="1" applyBorder="1"/>
    <xf numFmtId="0" fontId="10" fillId="0" borderId="0" xfId="0" applyFont="1" applyAlignment="1">
      <alignment horizontal="center"/>
    </xf>
    <xf numFmtId="0" fontId="14" fillId="3" borderId="1" xfId="3" applyFont="1"/>
    <xf numFmtId="0" fontId="16" fillId="0" borderId="0" xfId="0" applyFont="1" applyAlignment="1">
      <alignment horizontal="center"/>
    </xf>
    <xf numFmtId="0" fontId="16" fillId="0" borderId="0" xfId="0" applyFont="1"/>
    <xf numFmtId="0" fontId="20" fillId="0" borderId="0" xfId="0" applyFont="1"/>
    <xf numFmtId="0" fontId="11" fillId="3" borderId="2" xfId="2" applyFont="1" applyAlignment="1">
      <alignment horizontal="center"/>
    </xf>
    <xf numFmtId="0" fontId="21" fillId="0" borderId="0" xfId="0" applyFont="1" applyAlignment="1">
      <alignment horizontal="center"/>
    </xf>
    <xf numFmtId="0" fontId="16" fillId="4" borderId="3" xfId="4" applyFont="1"/>
    <xf numFmtId="0" fontId="24" fillId="0" borderId="0" xfId="0" applyFont="1"/>
    <xf numFmtId="0" fontId="25" fillId="2" borderId="1" xfId="1" applyFont="1" applyAlignment="1">
      <alignment horizontal="center"/>
    </xf>
    <xf numFmtId="0" fontId="26" fillId="3" borderId="1" xfId="3" applyFont="1" applyAlignment="1">
      <alignment horizontal="center"/>
    </xf>
    <xf numFmtId="0" fontId="27" fillId="3" borderId="2" xfId="2" applyFont="1"/>
    <xf numFmtId="0" fontId="26" fillId="3" borderId="1" xfId="3" applyNumberFormat="1" applyFont="1" applyAlignment="1">
      <alignment horizontal="center"/>
    </xf>
    <xf numFmtId="0" fontId="27" fillId="3" borderId="2" xfId="2" applyFont="1" applyAlignment="1">
      <alignment horizontal="center"/>
    </xf>
    <xf numFmtId="0" fontId="18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/>
    <xf numFmtId="0" fontId="10" fillId="0" borderId="0" xfId="0" applyFont="1" applyBorder="1" applyAlignment="1">
      <alignment horizontal="center"/>
    </xf>
    <xf numFmtId="164" fontId="0" fillId="0" borderId="0" xfId="0" applyNumberFormat="1"/>
    <xf numFmtId="0" fontId="10" fillId="0" borderId="0" xfId="0" applyFont="1" applyFill="1" applyAlignment="1">
      <alignment horizontal="center"/>
    </xf>
    <xf numFmtId="164" fontId="10" fillId="0" borderId="0" xfId="0" applyNumberFormat="1" applyFont="1" applyAlignment="1">
      <alignment horizontal="center"/>
    </xf>
    <xf numFmtId="0" fontId="14" fillId="3" borderId="1" xfId="3" applyFont="1" applyAlignment="1">
      <alignment horizontal="center"/>
    </xf>
    <xf numFmtId="164" fontId="11" fillId="3" borderId="2" xfId="2" applyNumberFormat="1" applyFont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32" fillId="0" borderId="0" xfId="0" applyFont="1" applyAlignment="1">
      <alignment horizontal="center"/>
    </xf>
    <xf numFmtId="0" fontId="35" fillId="0" borderId="0" xfId="0" applyFont="1"/>
    <xf numFmtId="0" fontId="35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0" fillId="0" borderId="7" xfId="0" applyFont="1" applyFill="1" applyBorder="1" applyAlignment="1">
      <alignment horizontal="center"/>
    </xf>
    <xf numFmtId="0" fontId="34" fillId="2" borderId="8" xfId="1" applyFont="1" applyBorder="1"/>
    <xf numFmtId="0" fontId="10" fillId="0" borderId="9" xfId="0" applyFont="1" applyFill="1" applyBorder="1" applyAlignment="1">
      <alignment horizontal="center"/>
    </xf>
    <xf numFmtId="0" fontId="34" fillId="2" borderId="10" xfId="1" applyFont="1" applyBorder="1"/>
    <xf numFmtId="0" fontId="32" fillId="0" borderId="0" xfId="0" applyFont="1" applyBorder="1" applyAlignment="1">
      <alignment horizontal="center"/>
    </xf>
    <xf numFmtId="0" fontId="10" fillId="0" borderId="0" xfId="0" applyFont="1" applyBorder="1"/>
    <xf numFmtId="0" fontId="10" fillId="0" borderId="8" xfId="0" applyFont="1" applyBorder="1"/>
    <xf numFmtId="0" fontId="10" fillId="0" borderId="0" xfId="0" applyFont="1" applyFill="1" applyAlignment="1">
      <alignment horizontal="center"/>
    </xf>
    <xf numFmtId="0" fontId="21" fillId="0" borderId="0" xfId="0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7" fillId="0" borderId="0" xfId="0" applyFont="1"/>
    <xf numFmtId="0" fontId="10" fillId="0" borderId="0" xfId="0" applyFont="1" applyFill="1" applyAlignment="1">
      <alignment horizontal="center"/>
    </xf>
    <xf numFmtId="0" fontId="9" fillId="0" borderId="0" xfId="0" applyFont="1" applyAlignment="1">
      <alignment horizontal="left"/>
    </xf>
    <xf numFmtId="0" fontId="38" fillId="0" borderId="0" xfId="0" applyFont="1"/>
    <xf numFmtId="0" fontId="0" fillId="8" borderId="0" xfId="0" applyFill="1"/>
    <xf numFmtId="0" fontId="19" fillId="0" borderId="0" xfId="0" applyFont="1" applyAlignment="1">
      <alignment horizontal="center" wrapText="1"/>
    </xf>
    <xf numFmtId="0" fontId="19" fillId="0" borderId="0" xfId="0" applyFont="1" applyAlignment="1">
      <alignment horizontal="center" vertical="center" textRotation="90"/>
    </xf>
    <xf numFmtId="0" fontId="35" fillId="0" borderId="0" xfId="0" applyFont="1" applyAlignment="1">
      <alignment horizontal="center"/>
    </xf>
    <xf numFmtId="0" fontId="10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1" fillId="0" borderId="6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5" fillId="3" borderId="5" xfId="2" applyFont="1" applyBorder="1" applyAlignment="1">
      <alignment horizontal="center"/>
    </xf>
    <xf numFmtId="0" fontId="15" fillId="3" borderId="0" xfId="2" applyFont="1" applyBorder="1" applyAlignment="1">
      <alignment horizontal="center"/>
    </xf>
    <xf numFmtId="0" fontId="21" fillId="0" borderId="0" xfId="0" applyFont="1" applyAlignment="1">
      <alignment horizontal="center"/>
    </xf>
    <xf numFmtId="0" fontId="16" fillId="4" borderId="4" xfId="4" applyFont="1" applyBorder="1" applyAlignment="1">
      <alignment horizontal="center"/>
    </xf>
    <xf numFmtId="0" fontId="16" fillId="4" borderId="0" xfId="4" applyFont="1" applyBorder="1" applyAlignment="1">
      <alignment horizontal="center"/>
    </xf>
    <xf numFmtId="0" fontId="16" fillId="4" borderId="3" xfId="4" applyFont="1" applyAlignment="1">
      <alignment horizontal="center"/>
    </xf>
    <xf numFmtId="0" fontId="19" fillId="0" borderId="0" xfId="0" applyFont="1"/>
    <xf numFmtId="0" fontId="39" fillId="0" borderId="0" xfId="0" applyFont="1"/>
    <xf numFmtId="0" fontId="39" fillId="6" borderId="0" xfId="0" applyFont="1" applyFill="1"/>
    <xf numFmtId="0" fontId="6" fillId="6" borderId="0" xfId="0" applyFont="1" applyFill="1"/>
  </cellXfs>
  <cellStyles count="5">
    <cellStyle name="Calculation" xfId="3" builtinId="22"/>
    <cellStyle name="Input" xfId="1" builtinId="20"/>
    <cellStyle name="Normal" xfId="0" builtinId="0"/>
    <cellStyle name="Note" xfId="4" builtinId="10"/>
    <cellStyle name="Output" xfId="2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268605</xdr:colOff>
      <xdr:row>32</xdr:row>
      <xdr:rowOff>75044</xdr:rowOff>
    </xdr:from>
    <xdr:to>
      <xdr:col>12</xdr:col>
      <xdr:colOff>421005</xdr:colOff>
      <xdr:row>32</xdr:row>
      <xdr:rowOff>76632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CxnSpPr/>
      </xdr:nvCxnSpPr>
      <xdr:spPr>
        <a:xfrm rot="10800000">
          <a:off x="12651105" y="6978764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212726</xdr:colOff>
      <xdr:row>26</xdr:row>
      <xdr:rowOff>128620</xdr:rowOff>
    </xdr:from>
    <xdr:to>
      <xdr:col>12</xdr:col>
      <xdr:colOff>492126</xdr:colOff>
      <xdr:row>37</xdr:row>
      <xdr:rowOff>151244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2595226" y="5721700"/>
          <a:ext cx="2717800" cy="23543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209550</xdr:colOff>
      <xdr:row>38</xdr:row>
      <xdr:rowOff>84569</xdr:rowOff>
    </xdr:from>
    <xdr:to>
      <xdr:col>12</xdr:col>
      <xdr:colOff>495300</xdr:colOff>
      <xdr:row>38</xdr:row>
      <xdr:rowOff>86157</xdr:rowOff>
    </xdr:to>
    <xdr:cxnSp macro="">
      <xdr:nvCxnSpPr>
        <xdr:cNvPr id="4" name="Straight Arrow Connector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2592050" y="8237969"/>
          <a:ext cx="272415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603091</xdr:colOff>
      <xdr:row>26</xdr:row>
      <xdr:rowOff>136798</xdr:rowOff>
    </xdr:from>
    <xdr:to>
      <xdr:col>7</xdr:col>
      <xdr:colOff>604679</xdr:colOff>
      <xdr:row>37</xdr:row>
      <xdr:rowOff>144418</xdr:rowOff>
    </xdr:to>
    <xdr:cxnSp macro="">
      <xdr:nvCxnSpPr>
        <xdr:cNvPr id="5" name="Straight Arrow Connector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CxnSpPr/>
      </xdr:nvCxnSpPr>
      <xdr:spPr>
        <a:xfrm rot="5400000">
          <a:off x="11207115" y="6898754"/>
          <a:ext cx="233934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229956</xdr:colOff>
      <xdr:row>14</xdr:row>
      <xdr:rowOff>169024</xdr:rowOff>
    </xdr:from>
    <xdr:to>
      <xdr:col>12</xdr:col>
      <xdr:colOff>481965</xdr:colOff>
      <xdr:row>14</xdr:row>
      <xdr:rowOff>170294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12612456" y="3125584"/>
          <a:ext cx="2690409" cy="12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229956</xdr:colOff>
      <xdr:row>11</xdr:row>
      <xdr:rowOff>216808</xdr:rowOff>
    </xdr:from>
    <xdr:to>
      <xdr:col>10</xdr:col>
      <xdr:colOff>9525</xdr:colOff>
      <xdr:row>11</xdr:row>
      <xdr:rowOff>219235</xdr:rowOff>
    </xdr:to>
    <xdr:cxnSp macro="">
      <xdr:nvCxnSpPr>
        <xdr:cNvPr id="7" name="Straight Connector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2612456" y="2472328"/>
          <a:ext cx="998769" cy="24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80281</xdr:colOff>
      <xdr:row>11</xdr:row>
      <xdr:rowOff>223090</xdr:rowOff>
    </xdr:from>
    <xdr:to>
      <xdr:col>12</xdr:col>
      <xdr:colOff>477610</xdr:colOff>
      <xdr:row>11</xdr:row>
      <xdr:rowOff>224678</xdr:rowOff>
    </xdr:to>
    <xdr:cxnSp macro="">
      <xdr:nvCxnSpPr>
        <xdr:cNvPr id="8" name="Straight Connector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14291581" y="2478610"/>
          <a:ext cx="1006929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8731</xdr:colOff>
      <xdr:row>9</xdr:row>
      <xdr:rowOff>3448</xdr:rowOff>
    </xdr:from>
    <xdr:to>
      <xdr:col>10</xdr:col>
      <xdr:colOff>10319</xdr:colOff>
      <xdr:row>11</xdr:row>
      <xdr:rowOff>216808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CxnSpPr/>
      </xdr:nvCxnSpPr>
      <xdr:spPr>
        <a:xfrm rot="5400000" flipH="1" flipV="1">
          <a:off x="13287375" y="2147684"/>
          <a:ext cx="6477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77311</xdr:colOff>
      <xdr:row>9</xdr:row>
      <xdr:rowOff>7258</xdr:rowOff>
    </xdr:from>
    <xdr:to>
      <xdr:col>11</xdr:col>
      <xdr:colOff>78899</xdr:colOff>
      <xdr:row>11</xdr:row>
      <xdr:rowOff>220618</xdr:rowOff>
    </xdr:to>
    <xdr:cxnSp macro="">
      <xdr:nvCxnSpPr>
        <xdr:cNvPr id="10" name="Straight Connector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CxnSpPr/>
      </xdr:nvCxnSpPr>
      <xdr:spPr>
        <a:xfrm rot="5400000" flipH="1" flipV="1">
          <a:off x="13965555" y="2151494"/>
          <a:ext cx="6477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481965</xdr:colOff>
      <xdr:row>8</xdr:row>
      <xdr:rowOff>219824</xdr:rowOff>
    </xdr:from>
    <xdr:to>
      <xdr:col>10</xdr:col>
      <xdr:colOff>196365</xdr:colOff>
      <xdr:row>9</xdr:row>
      <xdr:rowOff>432</xdr:rowOff>
    </xdr:to>
    <xdr:cxnSp macro="">
      <xdr:nvCxnSpPr>
        <xdr:cNvPr id="11" name="Straight Connector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13474065" y="1820024"/>
          <a:ext cx="3240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493395</xdr:colOff>
      <xdr:row>9</xdr:row>
      <xdr:rowOff>2654</xdr:rowOff>
    </xdr:from>
    <xdr:to>
      <xdr:col>11</xdr:col>
      <xdr:colOff>207795</xdr:colOff>
      <xdr:row>9</xdr:row>
      <xdr:rowOff>4242</xdr:rowOff>
    </xdr:to>
    <xdr:cxnSp macro="">
      <xdr:nvCxnSpPr>
        <xdr:cNvPr id="12" name="Straight Connector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4095095" y="1823834"/>
          <a:ext cx="3240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192405</xdr:colOff>
      <xdr:row>9</xdr:row>
      <xdr:rowOff>2654</xdr:rowOff>
    </xdr:from>
    <xdr:to>
      <xdr:col>10</xdr:col>
      <xdr:colOff>321945</xdr:colOff>
      <xdr:row>9</xdr:row>
      <xdr:rowOff>132194</xdr:rowOff>
    </xdr:to>
    <xdr:cxnSp macro="">
      <xdr:nvCxnSpPr>
        <xdr:cNvPr id="13" name="Straight Connector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CxnSpPr/>
      </xdr:nvCxnSpPr>
      <xdr:spPr>
        <a:xfrm rot="16200000" flipH="1">
          <a:off x="13794105" y="1823834"/>
          <a:ext cx="129540" cy="1295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363855</xdr:colOff>
      <xdr:row>8</xdr:row>
      <xdr:rowOff>90284</xdr:rowOff>
    </xdr:from>
    <xdr:to>
      <xdr:col>10</xdr:col>
      <xdr:colOff>493395</xdr:colOff>
      <xdr:row>8</xdr:row>
      <xdr:rowOff>219824</xdr:rowOff>
    </xdr:to>
    <xdr:cxnSp macro="">
      <xdr:nvCxnSpPr>
        <xdr:cNvPr id="14" name="Straight Connector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CxnSpPr/>
      </xdr:nvCxnSpPr>
      <xdr:spPr>
        <a:xfrm rot="16200000" flipH="1">
          <a:off x="13965555" y="1690484"/>
          <a:ext cx="129540" cy="1295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321945</xdr:colOff>
      <xdr:row>8</xdr:row>
      <xdr:rowOff>97904</xdr:rowOff>
    </xdr:from>
    <xdr:to>
      <xdr:col>10</xdr:col>
      <xdr:colOff>367665</xdr:colOff>
      <xdr:row>9</xdr:row>
      <xdr:rowOff>132194</xdr:rowOff>
    </xdr:to>
    <xdr:cxnSp macro="">
      <xdr:nvCxnSpPr>
        <xdr:cNvPr id="15" name="Straight Connector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CxnSpPr/>
      </xdr:nvCxnSpPr>
      <xdr:spPr>
        <a:xfrm rot="5400000">
          <a:off x="13818870" y="1802879"/>
          <a:ext cx="255270" cy="45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227240</xdr:colOff>
      <xdr:row>15</xdr:row>
      <xdr:rowOff>105524</xdr:rowOff>
    </xdr:from>
    <xdr:to>
      <xdr:col>12</xdr:col>
      <xdr:colOff>474393</xdr:colOff>
      <xdr:row>15</xdr:row>
      <xdr:rowOff>107112</xdr:rowOff>
    </xdr:to>
    <xdr:cxnSp macro="">
      <xdr:nvCxnSpPr>
        <xdr:cNvPr id="16" name="Straight Arrow Connector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2609740" y="3260204"/>
          <a:ext cx="2685553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8731</xdr:colOff>
      <xdr:row>11</xdr:row>
      <xdr:rowOff>217602</xdr:rowOff>
    </xdr:from>
    <xdr:to>
      <xdr:col>8</xdr:col>
      <xdr:colOff>10319</xdr:colOff>
      <xdr:row>14</xdr:row>
      <xdr:rowOff>170544</xdr:rowOff>
    </xdr:to>
    <xdr:cxnSp macro="">
      <xdr:nvCxnSpPr>
        <xdr:cNvPr id="17" name="Straight Arrow Connector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CxnSpPr/>
      </xdr:nvCxnSpPr>
      <xdr:spPr>
        <a:xfrm rot="5400000">
          <a:off x="12065034" y="2799319"/>
          <a:ext cx="653982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268605</xdr:colOff>
      <xdr:row>14</xdr:row>
      <xdr:rowOff>90284</xdr:rowOff>
    </xdr:from>
    <xdr:to>
      <xdr:col>12</xdr:col>
      <xdr:colOff>421005</xdr:colOff>
      <xdr:row>14</xdr:row>
      <xdr:rowOff>91872</xdr:rowOff>
    </xdr:to>
    <xdr:cxnSp macro="">
      <xdr:nvCxnSpPr>
        <xdr:cNvPr id="18" name="Straight Connector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12651105" y="3046844"/>
          <a:ext cx="25908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14</xdr:row>
      <xdr:rowOff>6464</xdr:rowOff>
    </xdr:from>
    <xdr:to>
      <xdr:col>11</xdr:col>
      <xdr:colOff>55244</xdr:colOff>
      <xdr:row>14</xdr:row>
      <xdr:rowOff>78464</xdr:rowOff>
    </xdr:to>
    <xdr:sp macro="" textlink="">
      <xdr:nvSpPr>
        <xdr:cNvPr id="19" name="Oval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14220825" y="2963024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9525</xdr:colOff>
      <xdr:row>14</xdr:row>
      <xdr:rowOff>6464</xdr:rowOff>
    </xdr:from>
    <xdr:to>
      <xdr:col>12</xdr:col>
      <xdr:colOff>55244</xdr:colOff>
      <xdr:row>14</xdr:row>
      <xdr:rowOff>78464</xdr:rowOff>
    </xdr:to>
    <xdr:sp macro="" textlink="">
      <xdr:nvSpPr>
        <xdr:cNvPr id="20" name="Oval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14830425" y="2963024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9525</xdr:colOff>
      <xdr:row>14</xdr:row>
      <xdr:rowOff>6464</xdr:rowOff>
    </xdr:from>
    <xdr:to>
      <xdr:col>10</xdr:col>
      <xdr:colOff>55244</xdr:colOff>
      <xdr:row>14</xdr:row>
      <xdr:rowOff>78464</xdr:rowOff>
    </xdr:to>
    <xdr:sp macro="" textlink="">
      <xdr:nvSpPr>
        <xdr:cNvPr id="21" name="Oval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13611225" y="2963024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9525</xdr:colOff>
      <xdr:row>14</xdr:row>
      <xdr:rowOff>6464</xdr:rowOff>
    </xdr:from>
    <xdr:to>
      <xdr:col>9</xdr:col>
      <xdr:colOff>55244</xdr:colOff>
      <xdr:row>14</xdr:row>
      <xdr:rowOff>78464</xdr:rowOff>
    </xdr:to>
    <xdr:sp macro="" textlink="">
      <xdr:nvSpPr>
        <xdr:cNvPr id="22" name="Oval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13001625" y="2963024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71913</xdr:colOff>
      <xdr:row>8</xdr:row>
      <xdr:rowOff>219824</xdr:rowOff>
    </xdr:from>
    <xdr:to>
      <xdr:col>10</xdr:col>
      <xdr:colOff>73501</xdr:colOff>
      <xdr:row>13</xdr:row>
      <xdr:rowOff>109334</xdr:rowOff>
    </xdr:to>
    <xdr:cxnSp macro="">
      <xdr:nvCxnSpPr>
        <xdr:cNvPr id="23" name="Straight Connector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CxnSpPr/>
      </xdr:nvCxnSpPr>
      <xdr:spPr>
        <a:xfrm rot="5400000">
          <a:off x="13169582" y="2324055"/>
          <a:ext cx="100965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4921</xdr:colOff>
      <xdr:row>9</xdr:row>
      <xdr:rowOff>7258</xdr:rowOff>
    </xdr:from>
    <xdr:to>
      <xdr:col>11</xdr:col>
      <xdr:colOff>6509</xdr:colOff>
      <xdr:row>13</xdr:row>
      <xdr:rowOff>117748</xdr:rowOff>
    </xdr:to>
    <xdr:cxnSp macro="">
      <xdr:nvCxnSpPr>
        <xdr:cNvPr id="24" name="Straight Connector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CxnSpPr/>
      </xdr:nvCxnSpPr>
      <xdr:spPr>
        <a:xfrm rot="5400000">
          <a:off x="13712190" y="2332469"/>
          <a:ext cx="100965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13</xdr:row>
      <xdr:rowOff>109334</xdr:rowOff>
    </xdr:from>
    <xdr:to>
      <xdr:col>12</xdr:col>
      <xdr:colOff>9525</xdr:colOff>
      <xdr:row>13</xdr:row>
      <xdr:rowOff>110922</xdr:rowOff>
    </xdr:to>
    <xdr:cxnSp macro="">
      <xdr:nvCxnSpPr>
        <xdr:cNvPr id="25" name="Straight Connector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14220825" y="2829674"/>
          <a:ext cx="6096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73501</xdr:colOff>
      <xdr:row>13</xdr:row>
      <xdr:rowOff>107746</xdr:rowOff>
    </xdr:from>
    <xdr:to>
      <xdr:col>10</xdr:col>
      <xdr:colOff>73501</xdr:colOff>
      <xdr:row>13</xdr:row>
      <xdr:rowOff>109334</xdr:rowOff>
    </xdr:to>
    <xdr:cxnSp macro="">
      <xdr:nvCxnSpPr>
        <xdr:cNvPr id="26" name="Straight Connector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13065601" y="2828086"/>
          <a:ext cx="6096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73501</xdr:colOff>
      <xdr:row>12</xdr:row>
      <xdr:rowOff>204584</xdr:rowOff>
    </xdr:from>
    <xdr:to>
      <xdr:col>11</xdr:col>
      <xdr:colOff>4921</xdr:colOff>
      <xdr:row>12</xdr:row>
      <xdr:rowOff>206172</xdr:rowOff>
    </xdr:to>
    <xdr:cxnSp macro="">
      <xdr:nvCxnSpPr>
        <xdr:cNvPr id="27" name="Straight Connector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CxnSpPr/>
      </xdr:nvCxnSpPr>
      <xdr:spPr>
        <a:xfrm>
          <a:off x="13675201" y="2688704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78105</xdr:colOff>
      <xdr:row>11</xdr:row>
      <xdr:rowOff>224678</xdr:rowOff>
    </xdr:from>
    <xdr:to>
      <xdr:col>11</xdr:col>
      <xdr:colOff>9525</xdr:colOff>
      <xdr:row>11</xdr:row>
      <xdr:rowOff>226266</xdr:rowOff>
    </xdr:to>
    <xdr:cxnSp macro="">
      <xdr:nvCxnSpPr>
        <xdr:cNvPr id="28" name="Straight Connector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13679805" y="2480198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73501</xdr:colOff>
      <xdr:row>11</xdr:row>
      <xdr:rowOff>14084</xdr:rowOff>
    </xdr:from>
    <xdr:to>
      <xdr:col>11</xdr:col>
      <xdr:colOff>4921</xdr:colOff>
      <xdr:row>11</xdr:row>
      <xdr:rowOff>15672</xdr:rowOff>
    </xdr:to>
    <xdr:cxnSp macro="">
      <xdr:nvCxnSpPr>
        <xdr:cNvPr id="29" name="Straight Connector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3675201" y="2269604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73501</xdr:colOff>
      <xdr:row>9</xdr:row>
      <xdr:rowOff>196964</xdr:rowOff>
    </xdr:from>
    <xdr:to>
      <xdr:col>11</xdr:col>
      <xdr:colOff>4921</xdr:colOff>
      <xdr:row>10</xdr:row>
      <xdr:rowOff>432</xdr:rowOff>
    </xdr:to>
    <xdr:cxnSp macro="">
      <xdr:nvCxnSpPr>
        <xdr:cNvPr id="30" name="Straight Connector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13675201" y="2018144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27</xdr:row>
      <xdr:rowOff>75838</xdr:rowOff>
    </xdr:from>
    <xdr:to>
      <xdr:col>9</xdr:col>
      <xdr:colOff>11113</xdr:colOff>
      <xdr:row>37</xdr:row>
      <xdr:rowOff>76632</xdr:rowOff>
    </xdr:to>
    <xdr:cxnSp macro="">
      <xdr:nvCxnSpPr>
        <xdr:cNvPr id="31" name="Straight Connector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CxnSpPr/>
      </xdr:nvCxnSpPr>
      <xdr:spPr>
        <a:xfrm rot="5400000">
          <a:off x="11935222" y="6933441"/>
          <a:ext cx="2134394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7143</xdr:colOff>
      <xdr:row>27</xdr:row>
      <xdr:rowOff>75044</xdr:rowOff>
    </xdr:from>
    <xdr:to>
      <xdr:col>10</xdr:col>
      <xdr:colOff>8731</xdr:colOff>
      <xdr:row>37</xdr:row>
      <xdr:rowOff>75044</xdr:rowOff>
    </xdr:to>
    <xdr:cxnSp macro="">
      <xdr:nvCxnSpPr>
        <xdr:cNvPr id="32" name="Straight Connector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CxnSpPr/>
      </xdr:nvCxnSpPr>
      <xdr:spPr>
        <a:xfrm rot="5400000">
          <a:off x="12542837" y="6932250"/>
          <a:ext cx="21336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27</xdr:row>
      <xdr:rowOff>75044</xdr:rowOff>
    </xdr:from>
    <xdr:to>
      <xdr:col>11</xdr:col>
      <xdr:colOff>11113</xdr:colOff>
      <xdr:row>37</xdr:row>
      <xdr:rowOff>75044</xdr:rowOff>
    </xdr:to>
    <xdr:cxnSp macro="">
      <xdr:nvCxnSpPr>
        <xdr:cNvPr id="33" name="Straight Connector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CxnSpPr/>
      </xdr:nvCxnSpPr>
      <xdr:spPr>
        <a:xfrm rot="5400000">
          <a:off x="13154819" y="6932250"/>
          <a:ext cx="21336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7937</xdr:colOff>
      <xdr:row>27</xdr:row>
      <xdr:rowOff>75838</xdr:rowOff>
    </xdr:from>
    <xdr:to>
      <xdr:col>12</xdr:col>
      <xdr:colOff>9525</xdr:colOff>
      <xdr:row>37</xdr:row>
      <xdr:rowOff>75838</xdr:rowOff>
    </xdr:to>
    <xdr:cxnSp macro="">
      <xdr:nvCxnSpPr>
        <xdr:cNvPr id="34" name="Straight Connector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CxnSpPr/>
      </xdr:nvCxnSpPr>
      <xdr:spPr>
        <a:xfrm rot="5400000">
          <a:off x="13762831" y="6933044"/>
          <a:ext cx="21336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268605</xdr:colOff>
      <xdr:row>36</xdr:row>
      <xdr:rowOff>75044</xdr:rowOff>
    </xdr:from>
    <xdr:to>
      <xdr:col>12</xdr:col>
      <xdr:colOff>421005</xdr:colOff>
      <xdr:row>36</xdr:row>
      <xdr:rowOff>76632</xdr:rowOff>
    </xdr:to>
    <xdr:cxnSp macro="">
      <xdr:nvCxnSpPr>
        <xdr:cNvPr id="35" name="Straight Connector 34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CxnSpPr/>
      </xdr:nvCxnSpPr>
      <xdr:spPr>
        <a:xfrm rot="10800000">
          <a:off x="12651105" y="7771244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260984</xdr:colOff>
      <xdr:row>34</xdr:row>
      <xdr:rowOff>75044</xdr:rowOff>
    </xdr:from>
    <xdr:to>
      <xdr:col>12</xdr:col>
      <xdr:colOff>413384</xdr:colOff>
      <xdr:row>34</xdr:row>
      <xdr:rowOff>76632</xdr:rowOff>
    </xdr:to>
    <xdr:cxnSp macro="">
      <xdr:nvCxnSpPr>
        <xdr:cNvPr id="36" name="Straight Connector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CxnSpPr/>
      </xdr:nvCxnSpPr>
      <xdr:spPr>
        <a:xfrm rot="10800000">
          <a:off x="12643484" y="7375004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268605</xdr:colOff>
      <xdr:row>30</xdr:row>
      <xdr:rowOff>75044</xdr:rowOff>
    </xdr:from>
    <xdr:to>
      <xdr:col>12</xdr:col>
      <xdr:colOff>421005</xdr:colOff>
      <xdr:row>30</xdr:row>
      <xdr:rowOff>76632</xdr:rowOff>
    </xdr:to>
    <xdr:cxnSp macro="">
      <xdr:nvCxnSpPr>
        <xdr:cNvPr id="37" name="Straight Connector 36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CxnSpPr/>
      </xdr:nvCxnSpPr>
      <xdr:spPr>
        <a:xfrm rot="10800000">
          <a:off x="12651105" y="6521564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268605</xdr:colOff>
      <xdr:row>28</xdr:row>
      <xdr:rowOff>75044</xdr:rowOff>
    </xdr:from>
    <xdr:to>
      <xdr:col>12</xdr:col>
      <xdr:colOff>421005</xdr:colOff>
      <xdr:row>28</xdr:row>
      <xdr:rowOff>76632</xdr:rowOff>
    </xdr:to>
    <xdr:cxnSp macro="">
      <xdr:nvCxnSpPr>
        <xdr:cNvPr id="38" name="Straight Connector 37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CxnSpPr/>
      </xdr:nvCxnSpPr>
      <xdr:spPr>
        <a:xfrm rot="10800000">
          <a:off x="12651105" y="6087224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586263</xdr:colOff>
      <xdr:row>30</xdr:row>
      <xdr:rowOff>152832</xdr:rowOff>
    </xdr:from>
    <xdr:to>
      <xdr:col>11</xdr:col>
      <xdr:colOff>51063</xdr:colOff>
      <xdr:row>33</xdr:row>
      <xdr:rowOff>181512</xdr:rowOff>
    </xdr:to>
    <xdr:sp macro="" textlink="">
      <xdr:nvSpPr>
        <xdr:cNvPr id="39" name="Rectangle 38">
          <a:extLst>
            <a:ext uri="{FF2B5EF4-FFF2-40B4-BE49-F238E27FC236}">
              <a16:creationId xmlns="" xmlns:a16="http://schemas.microsoft.com/office/drawing/2014/main" id="{00000000-0008-0000-0000-000027000000}"/>
            </a:ext>
          </a:extLst>
        </xdr:cNvPr>
        <xdr:cNvSpPr/>
      </xdr:nvSpPr>
      <xdr:spPr>
        <a:xfrm>
          <a:off x="13578363" y="6599352"/>
          <a:ext cx="684000" cy="684000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206207</xdr:colOff>
      <xdr:row>30</xdr:row>
      <xdr:rowOff>158125</xdr:rowOff>
    </xdr:from>
    <xdr:to>
      <xdr:col>11</xdr:col>
      <xdr:colOff>207795</xdr:colOff>
      <xdr:row>33</xdr:row>
      <xdr:rowOff>186805</xdr:rowOff>
    </xdr:to>
    <xdr:cxnSp macro="">
      <xdr:nvCxnSpPr>
        <xdr:cNvPr id="40" name="Straight Arrow Connector 39">
          <a:extLst>
            <a:ext uri="{FF2B5EF4-FFF2-40B4-BE49-F238E27FC236}">
              <a16:creationId xmlns="" xmlns:a16="http://schemas.microsoft.com/office/drawing/2014/main" id="{00000000-0008-0000-0000-000028000000}"/>
            </a:ext>
          </a:extLst>
        </xdr:cNvPr>
        <xdr:cNvCxnSpPr/>
      </xdr:nvCxnSpPr>
      <xdr:spPr>
        <a:xfrm rot="5400000">
          <a:off x="14076301" y="6945851"/>
          <a:ext cx="68400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572559</xdr:colOff>
      <xdr:row>34</xdr:row>
      <xdr:rowOff>153890</xdr:rowOff>
    </xdr:from>
    <xdr:to>
      <xdr:col>11</xdr:col>
      <xdr:colOff>37359</xdr:colOff>
      <xdr:row>34</xdr:row>
      <xdr:rowOff>155478</xdr:rowOff>
    </xdr:to>
    <xdr:cxnSp macro="">
      <xdr:nvCxnSpPr>
        <xdr:cNvPr id="41" name="Straight Arrow Connector 40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13564659" y="7453850"/>
          <a:ext cx="68400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228368</xdr:colOff>
      <xdr:row>11</xdr:row>
      <xdr:rowOff>212997</xdr:rowOff>
    </xdr:from>
    <xdr:to>
      <xdr:col>8</xdr:col>
      <xdr:colOff>229956</xdr:colOff>
      <xdr:row>14</xdr:row>
      <xdr:rowOff>164139</xdr:rowOff>
    </xdr:to>
    <xdr:cxnSp macro="">
      <xdr:nvCxnSpPr>
        <xdr:cNvPr id="42" name="Straight Connector 41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CxnSpPr/>
      </xdr:nvCxnSpPr>
      <xdr:spPr>
        <a:xfrm rot="5400000">
          <a:off x="12285571" y="2793814"/>
          <a:ext cx="652182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474392</xdr:colOff>
      <xdr:row>11</xdr:row>
      <xdr:rowOff>220620</xdr:rowOff>
    </xdr:from>
    <xdr:to>
      <xdr:col>12</xdr:col>
      <xdr:colOff>481172</xdr:colOff>
      <xdr:row>14</xdr:row>
      <xdr:rowOff>170547</xdr:rowOff>
    </xdr:to>
    <xdr:cxnSp macro="">
      <xdr:nvCxnSpPr>
        <xdr:cNvPr id="43" name="Straight Connector 42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CxnSpPr/>
      </xdr:nvCxnSpPr>
      <xdr:spPr>
        <a:xfrm rot="16200000" flipH="1">
          <a:off x="14973198" y="2798234"/>
          <a:ext cx="650967" cy="6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159673</xdr:colOff>
      <xdr:row>7</xdr:row>
      <xdr:rowOff>117408</xdr:rowOff>
    </xdr:from>
    <xdr:to>
      <xdr:col>12</xdr:col>
      <xdr:colOff>392792</xdr:colOff>
      <xdr:row>14</xdr:row>
      <xdr:rowOff>96384</xdr:rowOff>
    </xdr:to>
    <xdr:cxnSp macro="">
      <xdr:nvCxnSpPr>
        <xdr:cNvPr id="44" name="Straight Arrow Connector 43">
          <a:extLst>
            <a:ext uri="{FF2B5EF4-FFF2-40B4-BE49-F238E27FC236}">
              <a16:creationId xmlns="" xmlns:a16="http://schemas.microsoft.com/office/drawing/2014/main" id="{00000000-0008-0000-0000-00002C000000}"/>
            </a:ext>
          </a:extLst>
        </xdr:cNvPr>
        <xdr:cNvCxnSpPr/>
      </xdr:nvCxnSpPr>
      <xdr:spPr>
        <a:xfrm rot="5400000" flipH="1" flipV="1">
          <a:off x="13423307" y="1808024"/>
          <a:ext cx="1518851" cy="1439619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9524</xdr:colOff>
      <xdr:row>9</xdr:row>
      <xdr:rowOff>7258</xdr:rowOff>
    </xdr:from>
    <xdr:to>
      <xdr:col>13</xdr:col>
      <xdr:colOff>9525</xdr:colOff>
      <xdr:row>14</xdr:row>
      <xdr:rowOff>42464</xdr:rowOff>
    </xdr:to>
    <xdr:cxnSp macro="">
      <xdr:nvCxnSpPr>
        <xdr:cNvPr id="45" name="Straight Arrow Connector 44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CxnSpPr>
          <a:stCxn id="20" idx="2"/>
        </xdr:cNvCxnSpPr>
      </xdr:nvCxnSpPr>
      <xdr:spPr>
        <a:xfrm rot="10800000" flipH="1">
          <a:off x="14830424" y="1828438"/>
          <a:ext cx="609601" cy="1170586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16220</xdr:colOff>
      <xdr:row>8</xdr:row>
      <xdr:rowOff>127003</xdr:rowOff>
    </xdr:from>
    <xdr:to>
      <xdr:col>13</xdr:col>
      <xdr:colOff>47625</xdr:colOff>
      <xdr:row>14</xdr:row>
      <xdr:rowOff>17008</xdr:rowOff>
    </xdr:to>
    <xdr:cxnSp macro="">
      <xdr:nvCxnSpPr>
        <xdr:cNvPr id="46" name="Straight Arrow Connector 45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CxnSpPr>
          <a:endCxn id="19" idx="1"/>
        </xdr:cNvCxnSpPr>
      </xdr:nvCxnSpPr>
      <xdr:spPr>
        <a:xfrm flipH="1">
          <a:off x="13922720" y="2016128"/>
          <a:ext cx="1237905" cy="119175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317500</xdr:colOff>
      <xdr:row>24</xdr:row>
      <xdr:rowOff>75045</xdr:rowOff>
    </xdr:from>
    <xdr:to>
      <xdr:col>13</xdr:col>
      <xdr:colOff>9525</xdr:colOff>
      <xdr:row>28</xdr:row>
      <xdr:rowOff>0</xdr:rowOff>
    </xdr:to>
    <xdr:cxnSp macro="">
      <xdr:nvCxnSpPr>
        <xdr:cNvPr id="47" name="Straight Arrow Connector 46">
          <a:extLst>
            <a:ext uri="{FF2B5EF4-FFF2-40B4-BE49-F238E27FC236}">
              <a16:creationId xmlns="" xmlns:a16="http://schemas.microsoft.com/office/drawing/2014/main" id="{00000000-0008-0000-0000-00002F000000}"/>
            </a:ext>
          </a:extLst>
        </xdr:cNvPr>
        <xdr:cNvCxnSpPr/>
      </xdr:nvCxnSpPr>
      <xdr:spPr>
        <a:xfrm flipV="1">
          <a:off x="13620750" y="5520170"/>
          <a:ext cx="1501775" cy="877455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412750</xdr:colOff>
      <xdr:row>24</xdr:row>
      <xdr:rowOff>75045</xdr:rowOff>
    </xdr:from>
    <xdr:to>
      <xdr:col>13</xdr:col>
      <xdr:colOff>9526</xdr:colOff>
      <xdr:row>30</xdr:row>
      <xdr:rowOff>31753</xdr:rowOff>
    </xdr:to>
    <xdr:cxnSp macro="">
      <xdr:nvCxnSpPr>
        <xdr:cNvPr id="48" name="Straight Arrow Connector 47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CxnSpPr/>
      </xdr:nvCxnSpPr>
      <xdr:spPr>
        <a:xfrm flipH="1">
          <a:off x="13716000" y="5520170"/>
          <a:ext cx="1406526" cy="1369583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19051</xdr:colOff>
      <xdr:row>25</xdr:row>
      <xdr:rowOff>170293</xdr:rowOff>
    </xdr:from>
    <xdr:to>
      <xdr:col>13</xdr:col>
      <xdr:colOff>608240</xdr:colOff>
      <xdr:row>29</xdr:row>
      <xdr:rowOff>113143</xdr:rowOff>
    </xdr:to>
    <xdr:cxnSp macro="">
      <xdr:nvCxnSpPr>
        <xdr:cNvPr id="50" name="Straight Arrow Connector 49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CxnSpPr/>
      </xdr:nvCxnSpPr>
      <xdr:spPr>
        <a:xfrm rot="10800000" flipV="1">
          <a:off x="14839951" y="5511913"/>
          <a:ext cx="1198789" cy="81153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0</xdr:colOff>
      <xdr:row>43</xdr:row>
      <xdr:rowOff>0</xdr:rowOff>
    </xdr:from>
    <xdr:to>
      <xdr:col>33</xdr:col>
      <xdr:colOff>164523</xdr:colOff>
      <xdr:row>89</xdr:row>
      <xdr:rowOff>175259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16509" y="8666018"/>
          <a:ext cx="5784273" cy="84879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1"/>
  <sheetViews>
    <sheetView tabSelected="1" view="pageBreakPreview" topLeftCell="A7" zoomScale="93" zoomScaleNormal="100" zoomScaleSheetLayoutView="93" workbookViewId="0">
      <selection activeCell="D34" sqref="D34"/>
    </sheetView>
  </sheetViews>
  <sheetFormatPr defaultRowHeight="15"/>
  <cols>
    <col min="1" max="1" width="44.7109375" bestFit="1" customWidth="1"/>
    <col min="2" max="2" width="33.7109375" bestFit="1" customWidth="1"/>
    <col min="3" max="3" width="6.5703125" customWidth="1"/>
    <col min="4" max="4" width="33.140625" customWidth="1"/>
    <col min="5" max="5" width="23.28515625" bestFit="1" customWidth="1"/>
    <col min="6" max="6" width="16.28515625" bestFit="1" customWidth="1"/>
    <col min="7" max="7" width="14.7109375" bestFit="1" customWidth="1"/>
    <col min="8" max="8" width="8.85546875" customWidth="1"/>
  </cols>
  <sheetData>
    <row r="1" spans="1:17" s="47" customFormat="1" ht="18.75">
      <c r="A1" s="49" t="s">
        <v>183</v>
      </c>
    </row>
    <row r="2" spans="1:17" ht="19.5">
      <c r="A2" s="1" t="s">
        <v>11</v>
      </c>
      <c r="B2" s="44">
        <v>1500</v>
      </c>
      <c r="D2" s="69" t="s">
        <v>18</v>
      </c>
      <c r="E2" s="70"/>
      <c r="F2" s="70"/>
      <c r="G2" s="70"/>
      <c r="H2" s="32" t="s">
        <v>143</v>
      </c>
    </row>
    <row r="3" spans="1:17" ht="15.75">
      <c r="A3" s="1" t="s">
        <v>52</v>
      </c>
      <c r="B3" s="44">
        <v>1000</v>
      </c>
      <c r="D3" s="69" t="s">
        <v>167</v>
      </c>
      <c r="E3" s="70"/>
      <c r="F3" s="70"/>
      <c r="G3" s="70"/>
      <c r="H3" s="9"/>
    </row>
    <row r="4" spans="1:17" ht="18.75">
      <c r="A4" s="1" t="s">
        <v>53</v>
      </c>
      <c r="B4" s="44">
        <v>1000</v>
      </c>
      <c r="D4" s="1" t="s">
        <v>22</v>
      </c>
      <c r="E4" s="1" t="s">
        <v>23</v>
      </c>
      <c r="F4" s="70" t="s">
        <v>19</v>
      </c>
      <c r="G4" s="70" t="s">
        <v>21</v>
      </c>
    </row>
    <row r="5" spans="1:17" ht="18.75">
      <c r="A5" s="1" t="s">
        <v>57</v>
      </c>
      <c r="B5" s="45">
        <f>B4/B2</f>
        <v>0.66666666666666663</v>
      </c>
      <c r="D5" s="1">
        <f>IF((0.5*(B14/B15)*References!B14*1000*References!B15*(1-SQRT(1-(4.6*B32*1000000)/(B14*References!B14*1000*References!B15*References!B15))))&lt;E8,E8,0.5*(B14/B15)*References!B14*1000*References!B15*(1-SQRT(1-(4.6*B32*1000000)/(B14*References!B14*1000*References!B15*References!B15))))</f>
        <v>10942.830405134988</v>
      </c>
      <c r="E5" s="1">
        <f>PI()*0.25*B38*B38</f>
        <v>615.75216010359941</v>
      </c>
      <c r="F5" s="71">
        <f>ROUNDUP(D5/E5,0)</f>
        <v>18</v>
      </c>
      <c r="G5" s="71">
        <f>IF(ROUNDDOWN(References!B13*1000/(F5-1),-1)&lt;450,ROUNDDOWN(References!B13*1000/(F5-1),-1),450)</f>
        <v>350</v>
      </c>
    </row>
    <row r="6" spans="1:17" ht="18.75">
      <c r="A6" s="1" t="s">
        <v>58</v>
      </c>
      <c r="B6" s="45">
        <f>B3/B2</f>
        <v>0.66666666666666663</v>
      </c>
      <c r="D6" s="1"/>
      <c r="E6" s="1"/>
      <c r="F6" s="70"/>
      <c r="G6" s="70"/>
    </row>
    <row r="7" spans="1:17" ht="18.75">
      <c r="A7" s="1" t="s">
        <v>64</v>
      </c>
      <c r="B7" s="46" t="str">
        <f>References!K4</f>
        <v>Case 1</v>
      </c>
      <c r="D7" s="1" t="s">
        <v>24</v>
      </c>
      <c r="E7" s="1" t="s">
        <v>182</v>
      </c>
      <c r="F7" s="70"/>
      <c r="G7" s="70"/>
      <c r="M7" s="52" t="str">
        <f>F5&amp;" "&amp;"nos."&amp;" "&amp;","&amp; B38&amp;"mm "&amp;"dia." &amp;" "&amp;"@"&amp;G5&amp;"mm"&amp;" "&amp;"c/c"</f>
        <v>18 nos. ,28mm dia. @350mm c/c</v>
      </c>
      <c r="N7" s="52"/>
      <c r="O7" s="52"/>
      <c r="P7" s="52"/>
    </row>
    <row r="8" spans="1:17" ht="18.75">
      <c r="A8" s="1" t="s">
        <v>7</v>
      </c>
      <c r="B8" s="44">
        <v>150</v>
      </c>
      <c r="D8" s="1">
        <f>F5*E5</f>
        <v>11083.53888186479</v>
      </c>
      <c r="E8" s="1">
        <f>0.12*B23*1000*References!B15/100</f>
        <v>3859.2</v>
      </c>
      <c r="F8" s="70"/>
      <c r="G8" s="70"/>
      <c r="M8" s="52"/>
      <c r="N8" s="52"/>
      <c r="O8" s="52"/>
      <c r="P8" s="52"/>
    </row>
    <row r="9" spans="1:17" ht="15.75">
      <c r="D9" s="1"/>
      <c r="E9" s="1"/>
      <c r="F9" s="70"/>
      <c r="G9" s="70"/>
      <c r="N9" s="52" t="str">
        <f>F12&amp;" "&amp;"nos."&amp;" "&amp;","&amp; B38&amp;"mm "&amp;"dia." &amp;" "&amp;"@"&amp;G12&amp;"mm"&amp;" "&amp;"c/c"</f>
        <v>18 nos. ,28mm dia. @350mm c/c</v>
      </c>
      <c r="O9" s="52"/>
      <c r="P9" s="52"/>
      <c r="Q9" s="52"/>
    </row>
    <row r="10" spans="1:17" ht="18.75">
      <c r="A10" s="2" t="s">
        <v>0</v>
      </c>
      <c r="D10" s="69" t="s">
        <v>168</v>
      </c>
      <c r="E10" s="1"/>
      <c r="F10" s="70"/>
      <c r="G10" s="70"/>
      <c r="H10" s="9"/>
      <c r="N10" s="52"/>
      <c r="O10" s="52"/>
      <c r="P10" s="52"/>
      <c r="Q10" s="52"/>
    </row>
    <row r="11" spans="1:17" ht="18.75">
      <c r="A11" t="s">
        <v>54</v>
      </c>
      <c r="B11" s="44">
        <v>0.45</v>
      </c>
      <c r="D11" s="1" t="s">
        <v>22</v>
      </c>
      <c r="E11" s="1" t="s">
        <v>23</v>
      </c>
      <c r="F11" s="70" t="s">
        <v>19</v>
      </c>
      <c r="G11" s="70" t="s">
        <v>21</v>
      </c>
    </row>
    <row r="12" spans="1:17" ht="15.75">
      <c r="A12" t="s">
        <v>55</v>
      </c>
      <c r="B12" s="44">
        <v>0.45</v>
      </c>
      <c r="D12" s="1">
        <f>IF((0.5*(B14/B15)*References!B13*1000*References!B15*(1-SQRT(1-(4.6*B31*1000000)/(B14*References!B13*1000*References!B15*References!B15))))&lt;E15,E15,0.5*(B14/B15)*References!B13*1000*References!B15*(1-SQRT(1-(4.6*B31*1000000)/(B14*References!B13*1000*References!B15*References!B15))))</f>
        <v>10629.400598781103</v>
      </c>
      <c r="E12" s="1">
        <f>E5</f>
        <v>615.75216010359941</v>
      </c>
      <c r="F12" s="71">
        <f>ROUNDUP(D12/E12,0)</f>
        <v>18</v>
      </c>
      <c r="G12" s="71">
        <f>IF(ROUNDDOWN(References!B14*1000/(F12-1),-1)&lt;450,ROUNDDOWN(References!B14*1000/(F12-1),-1),450)</f>
        <v>350</v>
      </c>
    </row>
    <row r="13" spans="1:17" ht="18.75">
      <c r="A13" s="1" t="s">
        <v>8</v>
      </c>
      <c r="B13" s="44">
        <v>16</v>
      </c>
      <c r="D13" s="1"/>
      <c r="E13" s="1"/>
      <c r="F13" s="70"/>
      <c r="G13" s="70"/>
      <c r="H13" s="53" t="str">
        <f>B39&amp;"mm"</f>
        <v>600mm</v>
      </c>
    </row>
    <row r="14" spans="1:17" ht="18.75">
      <c r="A14" s="1" t="s">
        <v>15</v>
      </c>
      <c r="B14" s="44">
        <v>30</v>
      </c>
      <c r="D14" s="1" t="s">
        <v>24</v>
      </c>
      <c r="E14" s="1" t="s">
        <v>182</v>
      </c>
      <c r="F14" s="70"/>
      <c r="G14" s="70"/>
      <c r="H14" s="53"/>
    </row>
    <row r="15" spans="1:17" ht="18.75">
      <c r="A15" s="1" t="s">
        <v>16</v>
      </c>
      <c r="B15" s="44">
        <v>415</v>
      </c>
      <c r="D15" s="1">
        <f>IF(G12&lt;&gt;450,F12*E12,E15*E12)</f>
        <v>11083.53888186479</v>
      </c>
      <c r="E15" s="1">
        <f>0.12*B21*1000*References!B15/100</f>
        <v>3859.2</v>
      </c>
      <c r="F15" s="70"/>
      <c r="G15" s="70"/>
      <c r="H15" s="53"/>
    </row>
    <row r="16" spans="1:17" ht="15.75">
      <c r="A16" s="1" t="s">
        <v>12</v>
      </c>
      <c r="B16" s="44">
        <v>50</v>
      </c>
      <c r="D16" s="1"/>
      <c r="E16" s="1"/>
      <c r="F16" s="70"/>
      <c r="G16" s="70"/>
    </row>
    <row r="17" spans="1:17" ht="15.75">
      <c r="A17" s="1" t="s">
        <v>2</v>
      </c>
      <c r="B17" s="44">
        <v>1.5</v>
      </c>
      <c r="D17" s="69" t="s">
        <v>32</v>
      </c>
      <c r="E17" s="1"/>
      <c r="F17" s="70"/>
      <c r="G17" s="70"/>
      <c r="K17" s="34" t="str">
        <f>B21&amp;"m"</f>
        <v>6m</v>
      </c>
    </row>
    <row r="18" spans="1:17" ht="18.75">
      <c r="A18" s="1" t="s">
        <v>184</v>
      </c>
      <c r="B18" s="51">
        <f>B2*(1+(SUM(B5:B6)))/B8</f>
        <v>23.333333333333329</v>
      </c>
      <c r="D18" s="69" t="s">
        <v>36</v>
      </c>
      <c r="E18" s="1"/>
      <c r="F18" s="70"/>
      <c r="G18" s="70"/>
      <c r="I18" s="54" t="s">
        <v>144</v>
      </c>
      <c r="J18" s="54"/>
      <c r="K18" s="54"/>
      <c r="L18" s="54"/>
      <c r="M18" s="54"/>
    </row>
    <row r="19" spans="1:17" ht="18.75">
      <c r="A19" s="2" t="s">
        <v>1</v>
      </c>
      <c r="D19" s="1" t="s">
        <v>34</v>
      </c>
      <c r="E19" s="1">
        <f>((D8)/(Design!B23*1000*References!B15))*100</f>
        <v>0.34463740304305934</v>
      </c>
      <c r="F19" s="70"/>
      <c r="G19" s="70"/>
    </row>
    <row r="20" spans="1:17" ht="20.25">
      <c r="A20" s="1" t="s">
        <v>75</v>
      </c>
      <c r="B20" s="45">
        <f>0.5*B21-0.5*B11</f>
        <v>2.7749999999999999</v>
      </c>
      <c r="D20" s="1" t="s">
        <v>31</v>
      </c>
      <c r="E20" s="1">
        <f>IF(E19&lt;0.15,References!G21,IF(Design!E19&lt;3,References!D22,References!J21))</f>
        <v>0.41921144958239087</v>
      </c>
      <c r="F20" s="70"/>
      <c r="G20" s="70"/>
    </row>
    <row r="21" spans="1:17" ht="20.25">
      <c r="A21" s="1" t="s">
        <v>76</v>
      </c>
      <c r="B21" s="44">
        <v>6</v>
      </c>
      <c r="D21" s="1" t="s">
        <v>160</v>
      </c>
      <c r="E21" s="72" t="str">
        <f xml:space="preserve"> IF(B7="Error","Incorrect I/P",ROUNDUP(VLOOKUP(B7,'Final Data'!A2:G5,MATCH(Design!D21,'Final Data'!A1:G1,0),0),4))&amp;", "&amp;IF(IF(B7="Error","Incorrect I/P",ROUNDUP(VLOOKUP(B7,'Final Data'!A2:G5,MATCH(Design!D21,'Final Data'!A1:G1,0),0),4))&lt;E20,"OK","REVISION REQUIRED")</f>
        <v>0.3053, OK</v>
      </c>
      <c r="F21" s="70"/>
      <c r="G21" s="70"/>
    </row>
    <row r="22" spans="1:17" ht="15.75">
      <c r="A22" s="1" t="s">
        <v>77</v>
      </c>
      <c r="B22" s="45">
        <f>0.5*B23-0.5*B12</f>
        <v>2.7749999999999999</v>
      </c>
      <c r="D22" s="1"/>
      <c r="E22" s="1"/>
      <c r="F22" s="70"/>
      <c r="G22" s="70"/>
    </row>
    <row r="23" spans="1:17" ht="15.75">
      <c r="A23" s="1" t="s">
        <v>78</v>
      </c>
      <c r="B23" s="44">
        <v>6</v>
      </c>
      <c r="D23" s="69" t="s">
        <v>35</v>
      </c>
      <c r="E23" s="1"/>
      <c r="F23" s="70"/>
      <c r="G23" s="70"/>
    </row>
    <row r="24" spans="1:17" ht="18.75">
      <c r="A24" s="1" t="s">
        <v>186</v>
      </c>
      <c r="B24" s="45">
        <f>IF(B7="Error","Incorrect I/P",ROUNDUP(VLOOKUP(B7,'Final Data'!A2:B5,MATCH(Design!A24,'Final Data'!A1:B1,0),0),0))/B17</f>
        <v>97.333333333333329</v>
      </c>
      <c r="D24" s="1" t="s">
        <v>34</v>
      </c>
      <c r="E24" s="1">
        <f>((D8+2*D15)/(B23*1000*References!B15))*100</f>
        <v>1.0339122091291781</v>
      </c>
      <c r="F24" s="70"/>
      <c r="G24" s="70"/>
      <c r="N24" s="52" t="str">
        <f>F5&amp;" "&amp;"nos."&amp;" "&amp;","&amp; B38&amp;"mm "&amp;"dia." &amp;" "&amp;"@"&amp;G5&amp;"mm"&amp;" "&amp;"c/c"</f>
        <v>18 nos. ,28mm dia. @350mm c/c</v>
      </c>
      <c r="O24" s="52"/>
      <c r="P24" s="52"/>
      <c r="Q24" s="52"/>
    </row>
    <row r="25" spans="1:17" ht="20.25">
      <c r="A25" s="1" t="s">
        <v>156</v>
      </c>
      <c r="B25" s="45" t="str">
        <f>IF(B7="Case 1","not calculated",IF(B7="Error","Incorrect I/P",ROUND(VLOOKUP(B7,'Final Data'!A2:C5,MATCH(Design!A25,'Final Data'!A1:C1,0),0),2)))</f>
        <v>not calculated</v>
      </c>
      <c r="D25" s="1" t="s">
        <v>31</v>
      </c>
      <c r="E25" s="1">
        <f>IF(E24&lt;0.15,References!G28,IF(Design!E24&lt;3,References!D29,References!J28))</f>
        <v>0.77763434874717263</v>
      </c>
      <c r="F25" s="70"/>
      <c r="G25" s="70"/>
      <c r="N25" s="52"/>
      <c r="O25" s="52"/>
      <c r="P25" s="52"/>
      <c r="Q25" s="52"/>
    </row>
    <row r="26" spans="1:17" ht="20.25">
      <c r="A26" s="1" t="s">
        <v>157</v>
      </c>
      <c r="B26" s="45" t="str">
        <f>IF(B7="Case 1","not calculated",IF(B7="Error","Incorrect I/P",(B25*100)/(B21*B23)&amp;" "&amp;"%"))</f>
        <v>not calculated</v>
      </c>
      <c r="D26" s="1" t="s">
        <v>161</v>
      </c>
      <c r="E26" s="72" t="str">
        <f>IF(B7="Error","Incorrect I/P",ROUNDUP(VLOOKUP(B7,'Final Data'!A2:G5,MATCH(Design!D26,'Final Data'!A1:G1,0),0),4))&amp;", "&amp;IF(IF(B7="Error","Incorrect I/P",ROUNDUP(VLOOKUP(B7,'Final Data'!A2:G5,MATCH(Design!D21,'Final Data'!A1:G1,0),0),4))&lt;E20,"OK","REVISION REQUIRED")</f>
        <v>0.3053, OK</v>
      </c>
      <c r="F26" s="70"/>
      <c r="G26" s="70"/>
      <c r="O26" s="52" t="str">
        <f>F12&amp;" "&amp;"nos."&amp;" "&amp;","&amp; B38&amp;"mm "&amp;"dia." &amp;" "&amp;"@"&amp;G12&amp;"mm"&amp;" "&amp;"c/c"</f>
        <v>18 nos. ,28mm dia. @350mm c/c</v>
      </c>
      <c r="P26" s="52"/>
      <c r="Q26" s="52"/>
    </row>
    <row r="27" spans="1:17" ht="15.75">
      <c r="A27" s="1" t="s">
        <v>159</v>
      </c>
      <c r="B27" s="45" t="str">
        <f>IF(B7="Case 4","No","Yes")</f>
        <v>Yes</v>
      </c>
      <c r="D27" s="1"/>
      <c r="E27" s="1"/>
      <c r="F27" s="70"/>
      <c r="G27" s="70"/>
      <c r="O27" s="52"/>
      <c r="P27" s="52"/>
      <c r="Q27" s="52"/>
    </row>
    <row r="28" spans="1:17" ht="15.75">
      <c r="A28" s="50" t="str">
        <f>IF(B24&gt;B8," revision of dimensions required","")</f>
        <v/>
      </c>
      <c r="D28" s="69" t="s">
        <v>45</v>
      </c>
      <c r="E28" s="1"/>
      <c r="F28" s="70"/>
      <c r="G28" s="70"/>
    </row>
    <row r="29" spans="1:17" ht="15.75">
      <c r="D29" s="1" t="s">
        <v>48</v>
      </c>
      <c r="E29" s="1">
        <f>2*((B11*1000+References!B15)+(B12*1000+References!B15))</f>
        <v>3944</v>
      </c>
      <c r="F29" s="70"/>
      <c r="G29" s="70"/>
    </row>
    <row r="30" spans="1:17" ht="19.5">
      <c r="A30" s="2" t="s">
        <v>3</v>
      </c>
      <c r="B30" s="1"/>
      <c r="D30" s="1" t="s">
        <v>49</v>
      </c>
      <c r="E30" s="1">
        <f>E29*References!B15</f>
        <v>2113984</v>
      </c>
      <c r="F30" s="70"/>
      <c r="G30" s="70"/>
    </row>
    <row r="31" spans="1:17" ht="18.75">
      <c r="A31" s="1" t="s">
        <v>187</v>
      </c>
      <c r="B31" s="45">
        <f>IF(B7="Error","Incorrect I/P",ROUNDUP(VLOOKUP(B7,'Final Data'!A2:E5,MATCH(Design!A31,'Final Data'!A1:E1,0),0),0))</f>
        <v>1962</v>
      </c>
      <c r="D31" s="1" t="s">
        <v>47</v>
      </c>
      <c r="E31" s="1">
        <f>IF(0.5+(B12/B11)&lt;1,0.5+(B12/B11)&lt;1,1)</f>
        <v>1</v>
      </c>
      <c r="F31" s="70"/>
      <c r="G31" s="70"/>
    </row>
    <row r="32" spans="1:17" ht="18" customHeight="1">
      <c r="A32" s="1" t="s">
        <v>188</v>
      </c>
      <c r="B32" s="45">
        <f>IF(B7="Error","Incorrect I/P",ROUNDUP(VLOOKUP(B7,'Final Data'!A2:E5,MATCH(Design!A32,'Final Data'!A1:E1,0),0),0))</f>
        <v>2017</v>
      </c>
      <c r="D32" s="1" t="s">
        <v>185</v>
      </c>
      <c r="E32" s="1">
        <f>0.25*SQRT(B14)</f>
        <v>1.3693063937629153</v>
      </c>
      <c r="F32" s="70"/>
      <c r="G32" s="70"/>
      <c r="H32" s="53" t="str">
        <f>B23&amp;"m"</f>
        <v>6m</v>
      </c>
      <c r="L32" s="53" t="str">
        <f>B12&amp;"m"</f>
        <v>0.45m</v>
      </c>
    </row>
    <row r="33" spans="1:12" ht="15.75">
      <c r="A33" s="1" t="s">
        <v>6</v>
      </c>
      <c r="B33" t="str">
        <f>IF(B31&gt;B32,"Mx","My")</f>
        <v>My</v>
      </c>
      <c r="D33" s="1" t="s">
        <v>46</v>
      </c>
      <c r="E33" s="1">
        <f>E31*E32*E30</f>
        <v>2894691.8075125027</v>
      </c>
      <c r="F33" s="70"/>
      <c r="G33" s="70"/>
      <c r="H33" s="53"/>
      <c r="L33" s="53"/>
    </row>
    <row r="34" spans="1:12" ht="15.75">
      <c r="A34" s="1" t="s">
        <v>189</v>
      </c>
      <c r="B34" s="45">
        <f>B31/B21</f>
        <v>327</v>
      </c>
      <c r="D34" s="1" t="s">
        <v>191</v>
      </c>
      <c r="E34" s="72" t="str">
        <f xml:space="preserve"> IF(B7="Error","Incorrect I/P",ROUNDUP(VLOOKUP(B7,'Final Data'!A2:H5,MATCH(Design!D34,'Final Data'!A1:H1,0),0),4))&amp;", "&amp;IF(IF(B7="Error","Incorrect I/P",ROUNDUP(VLOOKUP(B7,'Final Data'!A2:H5,MATCH(Design!D34,'Final Data'!A1:H1,0),0),4))&lt;E33,"OK","REVISION REQUIRED")</f>
        <v>2189.2378, OK</v>
      </c>
      <c r="F34" s="70"/>
      <c r="G34" s="70"/>
      <c r="L34" s="53"/>
    </row>
    <row r="35" spans="1:12" ht="15.75">
      <c r="A35" s="1" t="s">
        <v>190</v>
      </c>
      <c r="B35" s="45">
        <f>B32/B23</f>
        <v>336.16666666666669</v>
      </c>
    </row>
    <row r="36" spans="1:12" ht="18.75">
      <c r="A36" s="1" t="s">
        <v>14</v>
      </c>
      <c r="B36" s="45">
        <f>VLOOKUP(B15,References!A2:B3,2)</f>
        <v>284.95557186833241</v>
      </c>
      <c r="K36" s="34" t="str">
        <f>B11&amp;"m"</f>
        <v>0.45m</v>
      </c>
    </row>
    <row r="37" spans="1:12" ht="18.75">
      <c r="A37" s="1" t="s">
        <v>9</v>
      </c>
      <c r="B37" s="45">
        <f>ROUND(0.87*B15*B13/(4*VLOOKUP(B14,References!A6:B10,2)*1.6*1.25),0)</f>
        <v>481</v>
      </c>
    </row>
    <row r="38" spans="1:12" ht="18.75">
      <c r="A38" s="4" t="s">
        <v>10</v>
      </c>
      <c r="B38" s="44">
        <v>28</v>
      </c>
    </row>
    <row r="39" spans="1:12" ht="18.75">
      <c r="A39" s="4" t="s">
        <v>17</v>
      </c>
      <c r="B39" s="45">
        <f>ROUNDUP(IF(B36&lt;B37,B37+0.5*B38+B16,B36+0.5*B38+B16),-2)</f>
        <v>600</v>
      </c>
    </row>
    <row r="40" spans="1:12" ht="18.75">
      <c r="A40" s="4" t="s">
        <v>13</v>
      </c>
      <c r="B40" s="45" t="str">
        <f>B39-0.5*B38-B16 &amp;", "&amp; IF(B39-0.5*B38-B16&gt;B36,"OK","REVISION REQUIRED")</f>
        <v>536, OK</v>
      </c>
      <c r="K40" s="34" t="str">
        <f>B21&amp;"m"</f>
        <v>6m</v>
      </c>
    </row>
    <row r="41" spans="1:12" ht="18.75">
      <c r="K41" s="33" t="s">
        <v>145</v>
      </c>
    </row>
  </sheetData>
  <mergeCells count="8">
    <mergeCell ref="M7:P8"/>
    <mergeCell ref="N9:Q10"/>
    <mergeCell ref="H13:H15"/>
    <mergeCell ref="I18:M18"/>
    <mergeCell ref="H32:H33"/>
    <mergeCell ref="L32:L34"/>
    <mergeCell ref="N24:Q25"/>
    <mergeCell ref="O26:Q27"/>
  </mergeCells>
  <pageMargins left="1.5" right="0.8" top="1" bottom="1.25" header="0.31496062992125984" footer="0.31496062992125984"/>
  <pageSetup paperSize="9" scale="80" fitToWidth="0" fitToHeight="0" pageOrder="overThenDown" orientation="portrait" r:id="rId1"/>
  <colBreaks count="2" manualBreakCount="2">
    <brk id="2" max="40" man="1"/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topLeftCell="B1" workbookViewId="0">
      <selection activeCell="B2" sqref="B2"/>
    </sheetView>
  </sheetViews>
  <sheetFormatPr defaultRowHeight="15"/>
  <cols>
    <col min="1" max="1" width="27.7109375" bestFit="1" customWidth="1"/>
    <col min="2" max="2" width="29.28515625" bestFit="1" customWidth="1"/>
    <col min="3" max="3" width="15.85546875" bestFit="1" customWidth="1"/>
    <col min="4" max="5" width="31.42578125" bestFit="1" customWidth="1"/>
    <col min="6" max="7" width="31.28515625" bestFit="1" customWidth="1"/>
    <col min="8" max="8" width="12" bestFit="1" customWidth="1"/>
  </cols>
  <sheetData>
    <row r="1" spans="1:8" ht="20.25">
      <c r="A1" s="5" t="s">
        <v>153</v>
      </c>
      <c r="B1" t="s">
        <v>155</v>
      </c>
      <c r="C1" s="1" t="s">
        <v>156</v>
      </c>
      <c r="D1" s="1" t="s">
        <v>4</v>
      </c>
      <c r="E1" s="1" t="s">
        <v>5</v>
      </c>
      <c r="F1" s="1" t="s">
        <v>160</v>
      </c>
      <c r="G1" s="1" t="s">
        <v>161</v>
      </c>
      <c r="H1" s="4" t="s">
        <v>50</v>
      </c>
    </row>
    <row r="2" spans="1:8">
      <c r="A2" s="5" t="s">
        <v>79</v>
      </c>
      <c r="B2">
        <f>References!M7</f>
        <v>145.83333333333331</v>
      </c>
      <c r="C2" t="s">
        <v>175</v>
      </c>
      <c r="D2">
        <f>References!N14*Design!B23*Design!B20*Design!B20/2</f>
        <v>1961.2529296875</v>
      </c>
      <c r="E2">
        <f>References!N18*Design!B21*Design!B22*Design!B22/2</f>
        <v>2016.9019775390625</v>
      </c>
      <c r="F2">
        <f>(References!L23*Design!B21*1000*((Design!B20*1000)-References!B15))/((Design!B21*1000*References!B15)*1000)</f>
        <v>0.30522851886401325</v>
      </c>
      <c r="G2">
        <f>(References!L27*Design!B23*1000*((Design!B20*1000)-References!B15))/((Design!B23*1000*References!B15)*1000)</f>
        <v>0.3052285188640132</v>
      </c>
      <c r="H2">
        <f>(References!L50*((Design!B21*Design!B23)*1000000-((Design!B11*1000+References!B15)*(Design!B12*1000+References!B15))))/1000000</f>
        <v>2189.2377499999998</v>
      </c>
    </row>
    <row r="3" spans="1:8">
      <c r="A3" s="5" t="s">
        <v>154</v>
      </c>
      <c r="B3">
        <f>References!AI2</f>
        <v>237.5</v>
      </c>
      <c r="C3">
        <f>References!AG8</f>
        <v>8.8199999999999967</v>
      </c>
      <c r="D3">
        <f>References!AA15*References!AA16*References!AA17</f>
        <v>2385.0206681433228</v>
      </c>
      <c r="E3">
        <f>References!AA21*References!AA22*References!AA23</f>
        <v>2387.7325492420023</v>
      </c>
      <c r="F3">
        <f>(References!AA28*Design!B21*1000*((Design!B20*1000)-References!B15))/((Design!B21*1000*References!B15)*1000)</f>
        <v>0.56455862736972107</v>
      </c>
      <c r="G3">
        <f>(References!AA32*Design!B23*1000*((Design!B20*1000)-References!B15))/((Design!B23*1000*References!B15)*1000)</f>
        <v>0.56455862736972118</v>
      </c>
      <c r="H3">
        <f>(References!AA38*((Design!B21*Design!B23)*1000000-((Design!B11*1000+References!B15)*(Design!B12*1000+References!B15))))/1000000</f>
        <v>1918.5604796366845</v>
      </c>
    </row>
    <row r="4" spans="1:8">
      <c r="A4" s="5" t="s">
        <v>101</v>
      </c>
      <c r="B4">
        <f>References!Y2</f>
        <v>149.41790448991679</v>
      </c>
      <c r="C4">
        <f>References!Y8</f>
        <v>-2.9957012556197427</v>
      </c>
      <c r="D4">
        <f>References!S15*References!S16*References!S17</f>
        <v>2674.0873622771451</v>
      </c>
      <c r="E4">
        <f>References!S21*References!S22*References!S23</f>
        <v>1762.9917596892506</v>
      </c>
      <c r="F4">
        <f>(References!S28*Design!B21*1000*((Design!B20*1000)-References!B15))/((Design!B21*1000*References!B15)*1000)</f>
        <v>0.27709583488473261</v>
      </c>
      <c r="G4">
        <f>(References!S32*Design!B23*1000*((Design!B20*1000)-References!B15))/((Design!B23*1000*References!B15)*1000)</f>
        <v>0.30380712377208952</v>
      </c>
      <c r="H4">
        <f>(References!S38*((Design!B21*Design!B23)*1000000-((Design!B11*1000+References!B15)*(Design!B12*1000+References!B15))))/1000000</f>
        <v>2092.4842122903146</v>
      </c>
    </row>
    <row r="5" spans="1:8">
      <c r="A5" s="5" t="s">
        <v>146</v>
      </c>
      <c r="B5">
        <f>References!AP2</f>
        <v>154.97448979591834</v>
      </c>
      <c r="C5">
        <f>References!AQ2</f>
        <v>-7.5555555555555642</v>
      </c>
    </row>
    <row r="6" spans="1:8">
      <c r="A6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51"/>
  <sheetViews>
    <sheetView zoomScale="110" zoomScaleNormal="110" workbookViewId="0">
      <selection activeCell="B13" sqref="B13"/>
    </sheetView>
  </sheetViews>
  <sheetFormatPr defaultRowHeight="15"/>
  <cols>
    <col min="1" max="1" width="23.7109375" bestFit="1" customWidth="1"/>
    <col min="2" max="2" width="65.7109375" bestFit="1" customWidth="1"/>
    <col min="3" max="3" width="28.7109375" bestFit="1" customWidth="1"/>
    <col min="6" max="6" width="13.5703125" bestFit="1" customWidth="1"/>
    <col min="10" max="10" width="5" bestFit="1" customWidth="1"/>
    <col min="12" max="12" width="25.42578125" bestFit="1" customWidth="1"/>
    <col min="13" max="13" width="12.140625" bestFit="1" customWidth="1"/>
    <col min="14" max="14" width="12.7109375" bestFit="1" customWidth="1"/>
    <col min="15" max="16" width="12" bestFit="1" customWidth="1"/>
    <col min="18" max="18" width="12.5703125" bestFit="1" customWidth="1"/>
    <col min="19" max="19" width="6.5703125" bestFit="1" customWidth="1"/>
    <col min="20" max="20" width="9.5703125" customWidth="1"/>
    <col min="21" max="21" width="12" bestFit="1" customWidth="1"/>
    <col min="22" max="22" width="9.5703125" bestFit="1" customWidth="1"/>
    <col min="24" max="24" width="15.7109375" customWidth="1"/>
    <col min="25" max="25" width="12.140625" customWidth="1"/>
    <col min="26" max="26" width="13.42578125" bestFit="1" customWidth="1"/>
    <col min="28" max="28" width="12" bestFit="1" customWidth="1"/>
    <col min="29" max="29" width="8.7109375" bestFit="1" customWidth="1"/>
    <col min="30" max="30" width="10.140625" bestFit="1" customWidth="1"/>
    <col min="31" max="31" width="5" bestFit="1" customWidth="1"/>
    <col min="32" max="32" width="11.140625" bestFit="1" customWidth="1"/>
    <col min="33" max="33" width="12.42578125" customWidth="1"/>
    <col min="34" max="34" width="15.28515625" customWidth="1"/>
    <col min="35" max="35" width="12.140625" bestFit="1" customWidth="1"/>
    <col min="41" max="41" width="16.28515625" bestFit="1" customWidth="1"/>
    <col min="42" max="42" width="12.140625" bestFit="1" customWidth="1"/>
  </cols>
  <sheetData>
    <row r="1" spans="1:43" ht="20.25" thickTop="1" thickBot="1">
      <c r="A1" s="11" t="s">
        <v>40</v>
      </c>
      <c r="B1" s="11" t="s">
        <v>41</v>
      </c>
      <c r="C1" s="65" t="s">
        <v>26</v>
      </c>
      <c r="D1" s="65"/>
      <c r="E1" s="65"/>
      <c r="F1" s="65"/>
      <c r="G1" s="65"/>
      <c r="H1" s="65"/>
      <c r="I1" s="65"/>
      <c r="K1" s="62" t="s">
        <v>63</v>
      </c>
      <c r="L1" s="62"/>
      <c r="M1" s="62"/>
      <c r="N1" s="62"/>
      <c r="O1" s="62"/>
      <c r="P1" s="62"/>
      <c r="Q1" s="62"/>
      <c r="R1" s="27" t="s">
        <v>101</v>
      </c>
      <c r="S1" s="5" t="s">
        <v>117</v>
      </c>
      <c r="T1" s="5" t="s">
        <v>102</v>
      </c>
      <c r="U1" s="5" t="s">
        <v>118</v>
      </c>
      <c r="V1" s="5" t="s">
        <v>103</v>
      </c>
      <c r="W1" s="5" t="s">
        <v>104</v>
      </c>
      <c r="X1" s="31" t="s">
        <v>136</v>
      </c>
      <c r="Y1" s="5" t="s">
        <v>66</v>
      </c>
      <c r="Z1" s="27" t="s">
        <v>135</v>
      </c>
      <c r="AA1" s="29" t="s">
        <v>140</v>
      </c>
      <c r="AB1" s="29" t="s">
        <v>141</v>
      </c>
      <c r="AC1" s="37" t="s">
        <v>137</v>
      </c>
      <c r="AD1" s="35" t="s">
        <v>138</v>
      </c>
      <c r="AE1" s="35" t="s">
        <v>139</v>
      </c>
      <c r="AF1" s="35" t="s">
        <v>151</v>
      </c>
      <c r="AG1" s="35" t="s">
        <v>152</v>
      </c>
      <c r="AH1" s="39" t="s">
        <v>142</v>
      </c>
      <c r="AI1" s="23" t="s">
        <v>66</v>
      </c>
      <c r="AJ1" s="27" t="s">
        <v>146</v>
      </c>
      <c r="AK1" s="3" t="s">
        <v>147</v>
      </c>
      <c r="AL1" s="3" t="s">
        <v>148</v>
      </c>
      <c r="AM1" s="3" t="s">
        <v>149</v>
      </c>
      <c r="AN1" s="3" t="s">
        <v>150</v>
      </c>
      <c r="AO1" s="31" t="s">
        <v>142</v>
      </c>
      <c r="AP1" s="5" t="s">
        <v>66</v>
      </c>
      <c r="AQ1" s="29" t="s">
        <v>158</v>
      </c>
    </row>
    <row r="2" spans="1:43" ht="16.5" thickTop="1" thickBot="1">
      <c r="A2" s="5">
        <v>415</v>
      </c>
      <c r="B2" s="5">
        <f>IF(Design!B31&gt;Design!B32,SQRT(Design!B31*1000/(0.138*Design!B14*B13)),SQRT(Design!B32*1000/(0.138*Design!B14*B14)))</f>
        <v>284.95557186833241</v>
      </c>
      <c r="C2" s="11" t="s">
        <v>25</v>
      </c>
      <c r="D2" s="65" t="s">
        <v>27</v>
      </c>
      <c r="E2" s="65"/>
      <c r="F2" s="65"/>
      <c r="G2" s="65"/>
      <c r="H2" s="65"/>
      <c r="I2" s="65"/>
      <c r="K2" s="7" t="s">
        <v>56</v>
      </c>
      <c r="L2" s="7" t="s">
        <v>59</v>
      </c>
      <c r="M2" s="7" t="s">
        <v>60</v>
      </c>
      <c r="N2" s="7" t="s">
        <v>61</v>
      </c>
      <c r="O2" s="7" t="s">
        <v>62</v>
      </c>
      <c r="P2" s="7" t="s">
        <v>70</v>
      </c>
      <c r="Q2" s="7" t="s">
        <v>71</v>
      </c>
      <c r="R2" s="3"/>
      <c r="S2" s="5">
        <f>0.5*Design!B21-Design!B5</f>
        <v>2.3333333333333335</v>
      </c>
      <c r="T2" s="26">
        <f>P_Quad_Root(References!S2,Design!B21)</f>
        <v>0.48512491253215967</v>
      </c>
      <c r="U2" s="5">
        <f>0.5*Design!B23-Design!B6</f>
        <v>2.3333333333333335</v>
      </c>
      <c r="V2" s="5">
        <f>(U2*4*(1+T2+T2*T2))/(1+T2+T2*T2+T2*T2*T2)</f>
        <v>8.7525076008884888</v>
      </c>
      <c r="W2" s="5">
        <f>T2*V2</f>
        <v>4.2460594843180912</v>
      </c>
      <c r="X2" s="5">
        <f>Design!B17*Design!B2</f>
        <v>2250</v>
      </c>
      <c r="Y2" s="10">
        <f>(6*X2)/((1+T2+T2*T2)*V2*Design!B21)</f>
        <v>149.41790448991679</v>
      </c>
      <c r="Z2" s="3"/>
      <c r="AA2" s="3">
        <f>P3/Design!B21</f>
        <v>0.1111111111111111</v>
      </c>
      <c r="AB2" s="3">
        <f>Q3/Design!B23</f>
        <v>0.1111111111111111</v>
      </c>
      <c r="AC2" s="38">
        <v>3.8</v>
      </c>
      <c r="AD2" s="36">
        <v>0.7</v>
      </c>
      <c r="AE2" s="36">
        <v>0.7</v>
      </c>
      <c r="AF2" s="41">
        <f>AD2*Design!B21</f>
        <v>4.1999999999999993</v>
      </c>
      <c r="AG2" s="41">
        <f>AE2*Design!B23</f>
        <v>4.1999999999999993</v>
      </c>
      <c r="AH2" s="40">
        <f>Design!B17*Design!B2</f>
        <v>2250</v>
      </c>
      <c r="AI2" s="40">
        <f>(AC2*AH2)/(Design!B21*Design!B23)</f>
        <v>237.5</v>
      </c>
      <c r="AK2" s="3">
        <f>0.5*Design!B21-References!P3</f>
        <v>2.3333333333333335</v>
      </c>
      <c r="AL2" s="3">
        <f>0.5*Design!B23-References!Q3</f>
        <v>2.3333333333333335</v>
      </c>
      <c r="AM2" s="3">
        <f>4*AK2</f>
        <v>9.3333333333333339</v>
      </c>
      <c r="AN2" s="3">
        <f>4*AL2</f>
        <v>9.3333333333333339</v>
      </c>
      <c r="AO2" s="3">
        <f>Design!B17*Design!B2</f>
        <v>2250</v>
      </c>
      <c r="AP2" s="3">
        <f>(3*AO2)/(8*AK2*AL2)</f>
        <v>154.97448979591834</v>
      </c>
      <c r="AQ2" s="3">
        <f>(Design!B21*Design!B23)-0.5*References!AM2*References!AN2</f>
        <v>-7.5555555555555642</v>
      </c>
    </row>
    <row r="3" spans="1:43" ht="15.75" thickTop="1">
      <c r="A3" s="5">
        <v>500</v>
      </c>
      <c r="B3" s="5">
        <f>IF(Design!B31&gt;Design!B32,SQRT(Design!B31*1000/(0.133*Design!B14*B13)),SQRT(Design!B32*1000/(0.133*Design!B14*B14)))</f>
        <v>290.26246297134622</v>
      </c>
      <c r="D3" s="11">
        <v>15</v>
      </c>
      <c r="E3" s="11">
        <v>20</v>
      </c>
      <c r="F3" s="11">
        <v>25</v>
      </c>
      <c r="G3" s="11">
        <v>30</v>
      </c>
      <c r="H3" s="11">
        <v>35</v>
      </c>
      <c r="I3" s="11">
        <v>40</v>
      </c>
      <c r="K3" s="8"/>
      <c r="L3" s="8">
        <f>Design!B21/6</f>
        <v>1</v>
      </c>
      <c r="M3" s="8">
        <f>Design!B23/6</f>
        <v>1</v>
      </c>
      <c r="N3" s="8">
        <f>Design!B21/4</f>
        <v>1.5</v>
      </c>
      <c r="O3" s="8">
        <f>Design!B23/4</f>
        <v>1.5</v>
      </c>
      <c r="P3" s="8">
        <f>Design!B5</f>
        <v>0.66666666666666663</v>
      </c>
      <c r="Q3" s="8">
        <f>Design!B6</f>
        <v>0.66666666666666663</v>
      </c>
      <c r="R3" s="3"/>
      <c r="S3" s="3"/>
      <c r="T3" s="3" t="s">
        <v>176</v>
      </c>
      <c r="U3" s="3">
        <f>1/Design!B21</f>
        <v>0.16666666666666666</v>
      </c>
      <c r="V3" s="3" t="s">
        <v>177</v>
      </c>
      <c r="W3" s="3">
        <f>-1/(W2-V2)</f>
        <v>0.22190425233632632</v>
      </c>
      <c r="X3" s="3" t="s">
        <v>178</v>
      </c>
      <c r="Y3" s="3">
        <f>(Design!B23-References!W2)/(References!W2-References!V2)</f>
        <v>-0.38920685877478461</v>
      </c>
      <c r="Z3" s="3"/>
      <c r="AA3" s="3" t="s">
        <v>176</v>
      </c>
      <c r="AB3" s="3">
        <f>TAN((180-Z5)*3.14/180)</f>
        <v>-1.0023918385499435</v>
      </c>
      <c r="AC3" s="40" t="s">
        <v>179</v>
      </c>
      <c r="AD3" s="3">
        <v>-1</v>
      </c>
      <c r="AE3" s="3" t="s">
        <v>181</v>
      </c>
      <c r="AF3" s="40">
        <f>AG2*1</f>
        <v>4.1999999999999993</v>
      </c>
      <c r="AG3" s="40"/>
      <c r="AH3" s="40"/>
      <c r="AI3" s="3"/>
    </row>
    <row r="4" spans="1:43" ht="15.75">
      <c r="A4" s="5"/>
      <c r="B4" s="5"/>
      <c r="C4" s="5">
        <v>0.15</v>
      </c>
      <c r="D4" s="5">
        <v>0.28000000000000003</v>
      </c>
      <c r="E4" s="5">
        <v>0.28000000000000003</v>
      </c>
      <c r="F4" s="5">
        <v>0.28999999999999998</v>
      </c>
      <c r="G4" s="5">
        <v>0.28999999999999998</v>
      </c>
      <c r="H4" s="5">
        <v>0.28999999999999998</v>
      </c>
      <c r="I4" s="5">
        <v>0.3</v>
      </c>
      <c r="K4" s="63" t="str">
        <f>IF(AND(P3&lt;L3,Q3&lt;M3),"Case 1",IF(AND(P3&gt;L3,P3&lt;N3,Q3&gt;M3,Q3&gt;O3),"Case 3",IF(AND(P3&gt;N3,Q3&gt;O3),"Case 4",IF(AND(P3&gt;L3,P3&lt;N3,Q3&gt;M3,Q3&lt;O3),"Case 2","Error"))))</f>
        <v>Case 1</v>
      </c>
      <c r="L4" s="64"/>
      <c r="M4" s="64"/>
      <c r="N4" s="64"/>
      <c r="O4" s="64"/>
      <c r="P4" s="64"/>
      <c r="Q4" s="64"/>
      <c r="R4" s="5" t="s">
        <v>110</v>
      </c>
      <c r="S4" s="5" t="s">
        <v>111</v>
      </c>
      <c r="T4" s="5" t="s">
        <v>105</v>
      </c>
      <c r="U4" s="5" t="s">
        <v>112</v>
      </c>
      <c r="V4" s="5" t="s">
        <v>113</v>
      </c>
      <c r="W4" s="5" t="s">
        <v>115</v>
      </c>
      <c r="X4" s="5" t="s">
        <v>114</v>
      </c>
      <c r="Y4" s="3"/>
      <c r="Z4" s="3" t="s">
        <v>162</v>
      </c>
      <c r="AA4" s="5" t="s">
        <v>112</v>
      </c>
      <c r="AB4" s="5" t="s">
        <v>113</v>
      </c>
      <c r="AC4" s="5" t="s">
        <v>115</v>
      </c>
      <c r="AD4" s="3" t="s">
        <v>180</v>
      </c>
      <c r="AE4" s="3"/>
      <c r="AF4" s="3"/>
      <c r="AG4" s="3"/>
      <c r="AH4" s="3"/>
      <c r="AI4" s="40"/>
    </row>
    <row r="5" spans="1:43" ht="16.5">
      <c r="A5" s="19" t="s">
        <v>42</v>
      </c>
      <c r="B5" s="19" t="s">
        <v>43</v>
      </c>
      <c r="C5" s="5">
        <v>0.25</v>
      </c>
      <c r="D5" s="5">
        <v>0.35</v>
      </c>
      <c r="E5" s="5">
        <v>0.36</v>
      </c>
      <c r="F5" s="5">
        <v>0.36</v>
      </c>
      <c r="G5" s="5">
        <v>0.37</v>
      </c>
      <c r="H5" s="5">
        <v>0.37</v>
      </c>
      <c r="I5" s="5">
        <v>0.38</v>
      </c>
      <c r="L5" s="5"/>
      <c r="R5" s="26">
        <f>(Design!B21/(References!V2-References!W2))*(0.5*Design!B23-References!W2)</f>
        <v>-1.6590353894051661</v>
      </c>
      <c r="S5" s="26">
        <f>(0.5*Design!B23-References!W2)</f>
        <v>-1.2460594843180912</v>
      </c>
      <c r="T5" s="26">
        <f>90-DEGREES(ATAN(S5/R5))</f>
        <v>53.090714692831156</v>
      </c>
      <c r="U5" s="26">
        <f>V2*COS(RADIANS(90-T5))</f>
        <v>6.9983943092227321</v>
      </c>
      <c r="V5" s="26">
        <f>(Design!B21*References!U3+References!Y3)/SQRT(References!U3*References!U3+References!W3*References!W3)</f>
        <v>2.2008702429684113</v>
      </c>
      <c r="W5" s="5">
        <f>-1*R5*COS(RADIANS(T5))+(0.5*Design!B23)*SIN(RADIANS(References!T5))</f>
        <v>3.3950954271272424</v>
      </c>
      <c r="X5" s="26">
        <f>Y3/(SQRT(U3*U3+W3*W3))</f>
        <v>-1.4024286391270786</v>
      </c>
      <c r="Y5" s="3"/>
      <c r="Z5" s="3">
        <f>DEGREES(ATAN(AG2/AF2))</f>
        <v>45</v>
      </c>
      <c r="AA5" s="3">
        <f>ABS(Design!B21*AB3+Design!B23*References!AD3+AF3)/SQRT(References!AB3*AB3+References!AD3*References!AD3)</f>
        <v>5.5189764125666025</v>
      </c>
      <c r="AB5" s="3">
        <f>ABS(Design!B21*AB3+AF3)/SQRT(AB3*AB3+References!AD3*References!AD3)</f>
        <v>1.2814065436465718</v>
      </c>
      <c r="AC5" s="3">
        <f>ABS(Design!B23*References!AD3+AF3)/SQRT(AB3*AB3+References!AD3*References!AD3)</f>
        <v>1.2712709606760098</v>
      </c>
      <c r="AD5" s="3">
        <f>-AF3/SQRT(AB3*AB3+AD3*AD3)</f>
        <v>-2.966298908244021</v>
      </c>
      <c r="AE5" s="3"/>
      <c r="AF5" s="3"/>
      <c r="AG5" s="3"/>
      <c r="AH5" s="3"/>
      <c r="AI5" s="40"/>
    </row>
    <row r="6" spans="1:43" ht="19.5">
      <c r="A6" s="7">
        <v>20</v>
      </c>
      <c r="B6" s="7">
        <v>1.2</v>
      </c>
      <c r="C6" s="5">
        <v>0.5</v>
      </c>
      <c r="D6" s="5">
        <v>0.46</v>
      </c>
      <c r="E6" s="5">
        <v>0.48</v>
      </c>
      <c r="F6" s="5">
        <v>0.49</v>
      </c>
      <c r="G6" s="5">
        <v>0.5</v>
      </c>
      <c r="H6" s="5">
        <v>0.5</v>
      </c>
      <c r="I6" s="5">
        <v>0.51</v>
      </c>
      <c r="K6" s="6" t="s">
        <v>79</v>
      </c>
      <c r="L6" t="s">
        <v>65</v>
      </c>
      <c r="M6" s="5" t="s">
        <v>66</v>
      </c>
      <c r="N6" s="5" t="s">
        <v>67</v>
      </c>
      <c r="O6" s="5" t="s">
        <v>68</v>
      </c>
      <c r="P6" s="5" t="s">
        <v>69</v>
      </c>
      <c r="R6" s="3"/>
      <c r="S6" s="3"/>
      <c r="T6" s="3"/>
      <c r="U6" s="5"/>
      <c r="V6" s="3"/>
      <c r="W6" s="3"/>
      <c r="X6" s="3"/>
      <c r="Y6" s="3"/>
      <c r="Z6" s="43" t="s">
        <v>164</v>
      </c>
      <c r="AA6" s="43" t="s">
        <v>166</v>
      </c>
      <c r="AB6" s="3"/>
      <c r="AC6" s="3"/>
      <c r="AD6" s="3"/>
      <c r="AE6" s="3"/>
      <c r="AF6" s="3"/>
      <c r="AG6" s="3"/>
      <c r="AH6" s="3"/>
      <c r="AI6" s="3"/>
    </row>
    <row r="7" spans="1:43">
      <c r="A7" s="7">
        <v>25</v>
      </c>
      <c r="B7" s="7">
        <v>1.4</v>
      </c>
      <c r="C7" s="5">
        <v>0.75</v>
      </c>
      <c r="D7" s="5">
        <v>0.54</v>
      </c>
      <c r="E7" s="5">
        <v>0.56000000000000005</v>
      </c>
      <c r="F7" s="5">
        <v>0.56999999999999995</v>
      </c>
      <c r="G7" s="5">
        <v>0.59</v>
      </c>
      <c r="H7" s="5">
        <v>0.59</v>
      </c>
      <c r="I7" s="5">
        <v>0.6</v>
      </c>
      <c r="L7" s="5">
        <f>Design!B17*Design!B2</f>
        <v>2250</v>
      </c>
      <c r="M7">
        <f>(L7/(Design!B21*Design!B23))*(1+(6*Design!B5/Design!B21)+(6*Design!B6/Design!B23))</f>
        <v>145.83333333333331</v>
      </c>
      <c r="N7">
        <f>(L7/(Design!B21*Design!B23))*(1+(6*Design!B5/Design!B21)-(6*Design!B6/Design!B23))</f>
        <v>62.499999999999993</v>
      </c>
      <c r="O7">
        <f>(L7/(Design!B21*Design!B23))*(1-(6*Design!B5/Design!B21)+(6*Design!B6/Design!B23))</f>
        <v>62.5</v>
      </c>
      <c r="P7">
        <f>L7/(Design!B21*Design!B23)*(1-(6*Design!B5/Design!B21)-(6*Design!B6/Design!B23))</f>
        <v>-20.833333333333329</v>
      </c>
      <c r="R7" s="57" t="s">
        <v>119</v>
      </c>
      <c r="S7" s="57"/>
      <c r="T7" s="57"/>
      <c r="U7" s="5" t="s">
        <v>116</v>
      </c>
      <c r="V7" s="5" t="s">
        <v>106</v>
      </c>
      <c r="W7" s="5" t="s">
        <v>107</v>
      </c>
      <c r="X7" s="5" t="s">
        <v>108</v>
      </c>
      <c r="Y7" s="29" t="s">
        <v>158</v>
      </c>
      <c r="Z7" s="57" t="s">
        <v>119</v>
      </c>
      <c r="AA7" s="57"/>
      <c r="AB7" s="57"/>
      <c r="AC7" s="5" t="s">
        <v>116</v>
      </c>
      <c r="AD7" s="5" t="s">
        <v>106</v>
      </c>
      <c r="AE7" s="5" t="s">
        <v>107</v>
      </c>
      <c r="AF7" s="5" t="s">
        <v>108</v>
      </c>
      <c r="AG7" s="29" t="s">
        <v>158</v>
      </c>
      <c r="AH7" s="3"/>
      <c r="AI7" s="3"/>
    </row>
    <row r="8" spans="1:43" ht="16.5">
      <c r="A8" s="7">
        <v>30</v>
      </c>
      <c r="B8" s="7">
        <v>1.5</v>
      </c>
      <c r="C8" s="5">
        <v>1</v>
      </c>
      <c r="D8" s="5">
        <v>0.6</v>
      </c>
      <c r="E8" s="5">
        <v>0.62</v>
      </c>
      <c r="F8" s="5">
        <v>0.64</v>
      </c>
      <c r="G8" s="5">
        <v>0.66</v>
      </c>
      <c r="H8" s="5">
        <v>0.67</v>
      </c>
      <c r="I8" s="5">
        <v>0.68</v>
      </c>
      <c r="R8" s="57" t="s">
        <v>109</v>
      </c>
      <c r="S8" s="57"/>
      <c r="T8" s="57"/>
      <c r="U8" s="28">
        <f>Y2</f>
        <v>149.41790448991679</v>
      </c>
      <c r="V8" s="10">
        <f>U8*V5/U5</f>
        <v>46.989267141633427</v>
      </c>
      <c r="W8" s="10">
        <f>U8*W5/U5</f>
        <v>72.486347846409487</v>
      </c>
      <c r="X8" s="28">
        <f>U8*X5/U5</f>
        <v>-29.942289501873894</v>
      </c>
      <c r="Y8">
        <f>(Design!B21*Design!B23)-0.5*(Design!B21*(References!V2+References!W2))</f>
        <v>-2.9957012556197427</v>
      </c>
      <c r="Z8" s="57" t="s">
        <v>109</v>
      </c>
      <c r="AA8" s="57"/>
      <c r="AB8" s="57"/>
      <c r="AC8" s="3">
        <f>ROUNDUP(AI2,2)</f>
        <v>237.5</v>
      </c>
      <c r="AD8" s="3">
        <f>ROUNDUP(AC8*AB5/AA5,2)</f>
        <v>55.15</v>
      </c>
      <c r="AE8" s="3">
        <f>ROUNDUP(AC8*AC5/AA5,2)</f>
        <v>54.71</v>
      </c>
      <c r="AF8">
        <f>AD5/AA5*AC8</f>
        <v>-127.64975568727404</v>
      </c>
      <c r="AG8" s="3">
        <f>0.5*AF2*AG2</f>
        <v>8.8199999999999967</v>
      </c>
      <c r="AH8" s="3"/>
      <c r="AI8" s="3"/>
    </row>
    <row r="9" spans="1:43" ht="17.25">
      <c r="A9" s="7">
        <v>35</v>
      </c>
      <c r="B9" s="7">
        <v>1.7</v>
      </c>
      <c r="C9" s="5">
        <v>1.25</v>
      </c>
      <c r="D9" s="5">
        <v>0.64</v>
      </c>
      <c r="E9" s="5">
        <v>0.67</v>
      </c>
      <c r="F9" s="5">
        <v>0.7</v>
      </c>
      <c r="G9" s="5">
        <v>0.71</v>
      </c>
      <c r="H9" s="5">
        <v>0.73</v>
      </c>
      <c r="I9" s="5">
        <v>0.74</v>
      </c>
      <c r="K9" s="56" t="s">
        <v>87</v>
      </c>
      <c r="L9" s="56"/>
      <c r="M9" s="56"/>
      <c r="N9" s="56"/>
      <c r="O9" s="56"/>
      <c r="P9" s="56"/>
      <c r="Q9" s="56"/>
      <c r="Z9" s="3"/>
      <c r="AA9" s="3"/>
      <c r="AB9" s="3"/>
      <c r="AC9" s="3"/>
      <c r="AD9" s="3"/>
      <c r="AE9" s="3"/>
      <c r="AF9" s="3"/>
      <c r="AG9" s="3"/>
      <c r="AH9" s="3"/>
      <c r="AI9" s="3"/>
    </row>
    <row r="10" spans="1:43" ht="17.45" customHeight="1">
      <c r="A10" s="7">
        <v>40</v>
      </c>
      <c r="B10" s="7" t="str">
        <f>IF(Design!B14&gt;=40,1.9,"")</f>
        <v/>
      </c>
      <c r="C10" s="5">
        <v>1.5</v>
      </c>
      <c r="D10" s="5">
        <v>0.68</v>
      </c>
      <c r="E10" s="5">
        <v>0.72</v>
      </c>
      <c r="F10" s="5">
        <v>0.74</v>
      </c>
      <c r="G10" s="5">
        <v>0.76</v>
      </c>
      <c r="H10" s="5">
        <v>0.78</v>
      </c>
      <c r="I10" s="5">
        <v>0.79</v>
      </c>
      <c r="K10" s="56" t="s">
        <v>81</v>
      </c>
      <c r="L10" s="56"/>
      <c r="M10" s="56"/>
      <c r="N10" s="56"/>
      <c r="O10" s="56"/>
      <c r="P10" s="56"/>
      <c r="Q10" s="56"/>
      <c r="R10" s="56" t="s">
        <v>87</v>
      </c>
      <c r="S10" s="56"/>
      <c r="T10" s="56"/>
      <c r="U10" s="56"/>
      <c r="V10" s="56"/>
      <c r="W10" s="56"/>
      <c r="X10" s="56"/>
      <c r="Y10" s="56"/>
      <c r="Z10" s="56" t="s">
        <v>87</v>
      </c>
      <c r="AA10" s="56"/>
      <c r="AB10" s="56"/>
      <c r="AC10" s="56"/>
      <c r="AD10" s="56"/>
      <c r="AE10" s="56"/>
      <c r="AF10" s="56"/>
      <c r="AG10" s="56"/>
      <c r="AH10" s="56"/>
      <c r="AI10" s="56"/>
    </row>
    <row r="11" spans="1:43">
      <c r="A11" s="5"/>
      <c r="B11" s="5"/>
      <c r="C11" s="5">
        <v>1.75</v>
      </c>
      <c r="D11" s="5">
        <v>0.71</v>
      </c>
      <c r="E11" s="5">
        <v>0.75</v>
      </c>
      <c r="F11" s="5">
        <v>0.78</v>
      </c>
      <c r="G11" s="5">
        <v>0.8</v>
      </c>
      <c r="H11" s="5">
        <v>0.82</v>
      </c>
      <c r="I11" s="5">
        <v>0.84</v>
      </c>
      <c r="K11" s="55" t="s">
        <v>33</v>
      </c>
      <c r="L11" s="55"/>
      <c r="M11" s="55"/>
      <c r="N11" s="55"/>
      <c r="O11" s="55"/>
      <c r="P11" s="55"/>
      <c r="Q11" s="55"/>
      <c r="R11" s="56" t="s">
        <v>81</v>
      </c>
      <c r="S11" s="56"/>
      <c r="T11" s="56"/>
      <c r="U11" s="56"/>
      <c r="V11" s="56"/>
      <c r="W11" s="56"/>
      <c r="X11" s="56"/>
      <c r="Y11" s="56"/>
      <c r="Z11" s="56" t="s">
        <v>81</v>
      </c>
      <c r="AA11" s="56"/>
      <c r="AB11" s="56"/>
      <c r="AC11" s="56"/>
      <c r="AD11" s="56"/>
      <c r="AE11" s="56"/>
      <c r="AF11" s="56"/>
      <c r="AG11" s="56"/>
      <c r="AH11" s="56"/>
      <c r="AI11" s="56"/>
    </row>
    <row r="12" spans="1:43">
      <c r="A12" s="11" t="s">
        <v>20</v>
      </c>
      <c r="B12" s="3"/>
      <c r="C12" s="5">
        <v>2</v>
      </c>
      <c r="D12" s="5">
        <v>0.71</v>
      </c>
      <c r="E12" s="5">
        <v>0.79</v>
      </c>
      <c r="F12" s="5">
        <v>0.82</v>
      </c>
      <c r="G12" s="5">
        <v>0.84</v>
      </c>
      <c r="H12" s="5">
        <v>0.86</v>
      </c>
      <c r="I12" s="5">
        <v>0.88</v>
      </c>
      <c r="K12" s="21" t="s">
        <v>83</v>
      </c>
      <c r="L12" s="21">
        <f>Face_Intensity(Design!B23,Design!B22,N7,M7)</f>
        <v>107.29166666666666</v>
      </c>
      <c r="M12" s="22" t="s">
        <v>172</v>
      </c>
      <c r="N12" s="22">
        <f>0.5*(M7+O7)</f>
        <v>104.16666666666666</v>
      </c>
      <c r="O12" s="22"/>
      <c r="P12" s="22"/>
      <c r="Q12" s="22"/>
      <c r="R12" s="55" t="s">
        <v>33</v>
      </c>
      <c r="S12" s="55"/>
      <c r="T12" s="55"/>
      <c r="U12" s="55"/>
      <c r="V12" s="55"/>
      <c r="W12" s="55"/>
      <c r="X12" s="55"/>
      <c r="Y12" s="55"/>
      <c r="Z12" s="55" t="s">
        <v>33</v>
      </c>
      <c r="AA12" s="55"/>
      <c r="AB12" s="55"/>
      <c r="AC12" s="55"/>
      <c r="AD12" s="55"/>
      <c r="AE12" s="55"/>
      <c r="AF12" s="55"/>
      <c r="AG12" s="55"/>
      <c r="AH12" s="55"/>
      <c r="AI12" s="55"/>
    </row>
    <row r="13" spans="1:43" ht="16.5">
      <c r="A13" s="5" t="s">
        <v>169</v>
      </c>
      <c r="B13" s="5">
        <f>Design!B23</f>
        <v>6</v>
      </c>
      <c r="C13" s="5">
        <v>2.25</v>
      </c>
      <c r="D13" s="5">
        <v>0.71</v>
      </c>
      <c r="E13" s="5">
        <v>0.81</v>
      </c>
      <c r="F13" s="5">
        <v>0.85</v>
      </c>
      <c r="G13" s="5">
        <v>0.88</v>
      </c>
      <c r="H13" s="5">
        <v>0.9</v>
      </c>
      <c r="I13" s="5">
        <v>0.92</v>
      </c>
      <c r="K13" s="21" t="s">
        <v>84</v>
      </c>
      <c r="L13" s="21">
        <f>Face_Intensity(Design!B23,Design!B22,P7,O7)</f>
        <v>23.958333333333336</v>
      </c>
      <c r="M13" s="22"/>
      <c r="N13" s="22"/>
      <c r="O13" s="22"/>
      <c r="P13" s="22"/>
      <c r="Q13" s="22"/>
      <c r="R13" s="25" t="s">
        <v>83</v>
      </c>
      <c r="S13" s="3">
        <f>U8*V13/U5</f>
        <v>63.578881394582083</v>
      </c>
      <c r="T13" s="3"/>
      <c r="U13" s="5" t="s">
        <v>125</v>
      </c>
      <c r="V13" s="5">
        <f>(Design!B21*0.5*References!U3+0.5*(Design!B23+Design!B12)*References!W3+References!Y3)/SQRT(References!U3*References!U3+References!W3*References!W3)</f>
        <v>2.9778899875323641</v>
      </c>
      <c r="W13" s="3"/>
      <c r="X13" s="3"/>
      <c r="Y13" s="3"/>
      <c r="Z13" s="42" t="s">
        <v>83</v>
      </c>
      <c r="AA13" s="3">
        <f>0.5*(AC8+AE8)</f>
        <v>146.10499999999999</v>
      </c>
      <c r="AB13" s="3"/>
      <c r="AC13" s="5" t="s">
        <v>125</v>
      </c>
      <c r="AD13" s="3">
        <f>((0.5*Design!B21+0.5*Design!B11-(0.5*Design!B23-(Design!B23-References!AG2))/TAN(RADIANS(References!Z5)))*TAN(RADIANS(References!Z5))+0.5*Design!B23)*COS(RADIANS(References!Z5))</f>
        <v>3.5532115754624018</v>
      </c>
      <c r="AE13" s="3"/>
      <c r="AF13" s="3"/>
      <c r="AG13" s="3"/>
      <c r="AH13" s="3"/>
      <c r="AI13" s="3"/>
    </row>
    <row r="14" spans="1:43" ht="16.5">
      <c r="A14" s="5" t="s">
        <v>170</v>
      </c>
      <c r="B14" s="5">
        <f>Design!B21</f>
        <v>6</v>
      </c>
      <c r="C14" s="5">
        <v>2.5</v>
      </c>
      <c r="D14" s="5">
        <v>0.71</v>
      </c>
      <c r="E14" s="5">
        <v>0.82</v>
      </c>
      <c r="F14" s="5">
        <v>0.88</v>
      </c>
      <c r="G14" s="5">
        <v>0.91</v>
      </c>
      <c r="H14" s="5">
        <v>0.93</v>
      </c>
      <c r="I14" s="5">
        <v>0.95</v>
      </c>
      <c r="K14" s="25" t="s">
        <v>171</v>
      </c>
      <c r="L14" s="48">
        <f>IF(L13&lt;0,Average_Intensity(Design!B21,Design!B20,Design!B11,0,L12),Average_Intensity(Design!B21,Design!B20,Design!B11,L13,L12))</f>
        <v>65.625</v>
      </c>
      <c r="M14" s="22" t="s">
        <v>173</v>
      </c>
      <c r="N14" s="22">
        <f>0.5*(L14+N12)</f>
        <v>84.895833333333329</v>
      </c>
      <c r="O14" s="22"/>
      <c r="P14" s="22"/>
      <c r="Q14" s="22"/>
      <c r="R14" s="25" t="s">
        <v>84</v>
      </c>
      <c r="S14" s="3">
        <f>(U8+W8)*0.5</f>
        <v>110.95212616816315</v>
      </c>
      <c r="T14" s="3"/>
      <c r="U14" s="3"/>
      <c r="V14" s="3"/>
      <c r="W14" s="3"/>
      <c r="X14" s="3"/>
      <c r="Y14" s="3"/>
      <c r="Z14" s="42" t="s">
        <v>84</v>
      </c>
      <c r="AA14" s="3">
        <f>AD14*AC8/AA5</f>
        <v>61.763501925324078</v>
      </c>
      <c r="AB14" s="3"/>
      <c r="AC14" s="5" t="s">
        <v>163</v>
      </c>
      <c r="AD14" s="3">
        <f>ABS(Design!B21*0.5*AB3+0.5*(Design!B23+Design!B12)*References!AD3+AF3)/SQRT(References!AB3*AB3+References!AD3*References!AD3)</f>
        <v>1.4352476222457917</v>
      </c>
      <c r="AE14" s="3"/>
      <c r="AF14" s="3"/>
      <c r="AG14" s="3"/>
      <c r="AH14" s="3"/>
      <c r="AI14" s="3"/>
    </row>
    <row r="15" spans="1:43" ht="16.5">
      <c r="A15" s="5" t="s">
        <v>44</v>
      </c>
      <c r="B15" s="5">
        <f>Design!B39-0.5*Design!B38-Design!B16</f>
        <v>536</v>
      </c>
      <c r="C15" s="5">
        <v>2.75</v>
      </c>
      <c r="D15" s="5">
        <v>0.71</v>
      </c>
      <c r="E15" s="5">
        <v>0.82</v>
      </c>
      <c r="F15" s="5">
        <v>0.9</v>
      </c>
      <c r="G15" s="5">
        <v>0.94</v>
      </c>
      <c r="H15" s="5">
        <v>0.96</v>
      </c>
      <c r="I15" s="5">
        <v>0.98</v>
      </c>
      <c r="K15" s="55" t="s">
        <v>51</v>
      </c>
      <c r="L15" s="55"/>
      <c r="M15" s="55"/>
      <c r="N15" s="55"/>
      <c r="O15" s="55"/>
      <c r="P15" s="55"/>
      <c r="Q15" s="55"/>
      <c r="R15" s="25" t="s">
        <v>120</v>
      </c>
      <c r="S15" s="10">
        <f>AVERAGE(S13,S14)</f>
        <v>87.265503781372615</v>
      </c>
      <c r="T15" s="3"/>
      <c r="U15" s="3"/>
      <c r="V15" s="3"/>
      <c r="W15" s="3"/>
      <c r="X15" s="3"/>
      <c r="Y15" s="3"/>
      <c r="Z15" s="42" t="s">
        <v>120</v>
      </c>
      <c r="AA15" s="3">
        <f>AVERAGE(AA13,AA14)</f>
        <v>103.93425096266203</v>
      </c>
      <c r="AB15" s="3"/>
      <c r="AC15" s="3"/>
      <c r="AD15" s="3"/>
      <c r="AE15" s="3"/>
      <c r="AF15" s="3"/>
      <c r="AG15" s="3"/>
      <c r="AH15" s="3"/>
      <c r="AI15" s="3"/>
    </row>
    <row r="16" spans="1:43" ht="18">
      <c r="C16" s="5">
        <v>3</v>
      </c>
      <c r="D16" s="5">
        <v>0.71</v>
      </c>
      <c r="E16" s="5">
        <v>0.82</v>
      </c>
      <c r="F16" s="5">
        <v>0.92</v>
      </c>
      <c r="G16" s="5">
        <v>0.96</v>
      </c>
      <c r="H16" s="5">
        <v>0.99</v>
      </c>
      <c r="I16" s="5">
        <v>1.01</v>
      </c>
      <c r="K16" s="21" t="s">
        <v>85</v>
      </c>
      <c r="L16" s="21">
        <f>IF(P7&lt;0,Face_Intensity(Design!B21,Design!B20,0,N7),Face_Intensity(Design!B21,Design!B20,P7,N7))</f>
        <v>33.59375</v>
      </c>
      <c r="M16" s="22" t="s">
        <v>172</v>
      </c>
      <c r="N16" s="22">
        <f>0.5*(M7+N7)</f>
        <v>104.16666666666666</v>
      </c>
      <c r="O16" s="22"/>
      <c r="P16" s="22"/>
      <c r="Q16" s="22"/>
      <c r="R16" s="25" t="s">
        <v>122</v>
      </c>
      <c r="S16" s="10">
        <f>Design!B21*((0.5*Design!B23-References!W2)-0.5*Design!B12+W2)*(V2-W2-(0.5*Design!B23-References!W2)+0.5*Design!B12)/(References!V2-References!W2)</f>
        <v>22.085132010914297</v>
      </c>
      <c r="T16" s="60" t="s">
        <v>123</v>
      </c>
      <c r="U16" s="61"/>
      <c r="V16" s="61"/>
      <c r="W16" s="3"/>
      <c r="X16" s="3"/>
      <c r="Y16" s="3"/>
      <c r="Z16" s="30" t="s">
        <v>122</v>
      </c>
      <c r="AA16" s="3">
        <f>Design!B21*(0.5*Design!B23-0.5*Design!B12)-0.5*(((0.5*Design!B23-(Design!B23-References!AG2))-0.5*Design!B12)*((0.5*Design!B23-(Design!B23-References!AG2))-0.5*Design!B12)/TAN(RADIANS(References!Z5)))</f>
        <v>16.174687499999997</v>
      </c>
      <c r="AB16" s="3"/>
      <c r="AC16" s="3"/>
      <c r="AD16" s="3"/>
      <c r="AE16" s="3"/>
      <c r="AF16" s="3"/>
      <c r="AG16" s="3"/>
      <c r="AH16" s="3"/>
      <c r="AI16" s="3"/>
    </row>
    <row r="17" spans="3:35">
      <c r="C17" s="5"/>
      <c r="D17" s="5"/>
      <c r="E17" s="5"/>
      <c r="F17" s="5"/>
      <c r="G17" s="5"/>
      <c r="H17" s="5"/>
      <c r="I17" s="5"/>
      <c r="K17" s="21" t="s">
        <v>86</v>
      </c>
      <c r="L17" s="21">
        <f>Face_Intensity(Design!B21,Design!B20,O7,M7)</f>
        <v>107.29166666666666</v>
      </c>
      <c r="M17" s="22"/>
      <c r="N17" s="22"/>
      <c r="O17" s="22"/>
      <c r="P17" s="22"/>
      <c r="Q17" s="22"/>
      <c r="R17" s="25" t="s">
        <v>121</v>
      </c>
      <c r="S17" s="10">
        <f>0.5*((0.5*Design!B23-References!W2)-0.5*Design!B12+W2)</f>
        <v>1.3875</v>
      </c>
      <c r="T17" s="3"/>
      <c r="U17" s="3"/>
      <c r="V17" s="3"/>
      <c r="W17" s="3"/>
      <c r="X17" s="3"/>
      <c r="Y17" s="3"/>
      <c r="Z17" s="30" t="s">
        <v>121</v>
      </c>
      <c r="AA17" s="3">
        <f>(Design!B21*(0.5*Design!B23-0.5*Design!B12)*(0.5*Design!B23-0.5*Design!B12)*0.5-0.5*(((0.5*Design!B23-(Design!B23-References!AG2))-0.5*Design!B12)*((0.5*Design!B23-(Design!B23-References!AG2))-0.5*Design!B12)/TAN(RADIANS(References!Z5)))*((0.5*Design!B23-(Design!B23-References!AG2)-0.5*Design!B12)/3))/AA16</f>
        <v>1.4187228308120325</v>
      </c>
      <c r="AB17" s="3"/>
      <c r="AC17" s="3"/>
      <c r="AD17" s="3"/>
      <c r="AE17" s="3"/>
      <c r="AF17" s="3"/>
      <c r="AG17" s="3"/>
      <c r="AH17" s="3"/>
      <c r="AI17" s="3"/>
    </row>
    <row r="18" spans="3:35">
      <c r="C18" s="12" t="s">
        <v>37</v>
      </c>
      <c r="D18" s="8"/>
      <c r="E18" s="8"/>
      <c r="F18" s="8"/>
      <c r="G18" s="8"/>
      <c r="H18" s="8"/>
      <c r="I18" s="8"/>
      <c r="J18" s="13"/>
      <c r="K18" s="25" t="s">
        <v>174</v>
      </c>
      <c r="L18" s="48">
        <f>Average_Intensity(Design!B23,Design!B22,Design!B12,L16,L17)</f>
        <v>70.442708333333329</v>
      </c>
      <c r="M18" s="22" t="s">
        <v>173</v>
      </c>
      <c r="N18" s="22">
        <f>0.5*(L18+N16)</f>
        <v>87.3046875</v>
      </c>
      <c r="O18" s="22"/>
      <c r="P18" s="22"/>
      <c r="Q18" s="22"/>
      <c r="R18" s="55" t="s">
        <v>51</v>
      </c>
      <c r="S18" s="55"/>
      <c r="T18" s="55"/>
      <c r="U18" s="55"/>
      <c r="V18" s="55"/>
      <c r="W18" s="55"/>
      <c r="X18" s="55"/>
      <c r="Y18" s="55"/>
      <c r="Z18" s="55" t="s">
        <v>51</v>
      </c>
      <c r="AA18" s="55"/>
      <c r="AB18" s="55"/>
      <c r="AC18" s="55"/>
      <c r="AD18" s="55"/>
      <c r="AE18" s="55"/>
      <c r="AF18" s="55"/>
      <c r="AG18" s="55"/>
      <c r="AH18" s="55"/>
      <c r="AI18" s="3"/>
    </row>
    <row r="19" spans="3:35" ht="16.5">
      <c r="C19" s="66" t="s">
        <v>28</v>
      </c>
      <c r="D19" s="67"/>
      <c r="E19" s="8"/>
      <c r="F19" s="68" t="s">
        <v>29</v>
      </c>
      <c r="G19" s="68"/>
      <c r="H19" s="7"/>
      <c r="I19" s="68" t="s">
        <v>30</v>
      </c>
      <c r="J19" s="68"/>
      <c r="K19" s="58" t="s">
        <v>80</v>
      </c>
      <c r="L19" s="65"/>
      <c r="M19" s="65"/>
      <c r="N19" s="65"/>
      <c r="O19" s="65"/>
      <c r="P19" s="65"/>
      <c r="Q19" s="65"/>
      <c r="R19" s="25" t="s">
        <v>85</v>
      </c>
      <c r="S19" s="3">
        <f>0.5*(U8+0)</f>
        <v>74.708952244958397</v>
      </c>
      <c r="T19" s="3"/>
      <c r="U19" s="5"/>
      <c r="V19" s="5"/>
      <c r="W19" s="3"/>
      <c r="X19" s="3"/>
      <c r="Y19" s="3"/>
      <c r="Z19" s="42" t="s">
        <v>85</v>
      </c>
      <c r="AA19" s="3">
        <f>0.5*(AC8+AD8)</f>
        <v>146.32499999999999</v>
      </c>
      <c r="AB19" s="3"/>
      <c r="AC19" s="5" t="s">
        <v>165</v>
      </c>
      <c r="AD19" s="3">
        <f>(0.5*Design!B23+0.5*Design!B12+(Design!B21-References!AF2)*TAN(RADIANS(References!Z5)))*COS(RADIANS(References!Z5))</f>
        <v>3.5532115754624018</v>
      </c>
      <c r="AE19" s="3"/>
      <c r="AF19" s="3"/>
      <c r="AG19" s="3"/>
      <c r="AH19" s="3"/>
      <c r="AI19" s="3"/>
    </row>
    <row r="20" spans="3:35" ht="16.5">
      <c r="C20" s="7" t="s">
        <v>25</v>
      </c>
      <c r="D20" s="7" t="s">
        <v>38</v>
      </c>
      <c r="E20" s="8"/>
      <c r="F20" s="7" t="s">
        <v>25</v>
      </c>
      <c r="G20" s="7" t="s">
        <v>38</v>
      </c>
      <c r="H20" s="7"/>
      <c r="I20" s="7" t="s">
        <v>25</v>
      </c>
      <c r="J20" s="7" t="s">
        <v>38</v>
      </c>
      <c r="K20" s="55" t="s">
        <v>33</v>
      </c>
      <c r="L20" s="55"/>
      <c r="M20" s="55"/>
      <c r="N20" s="55"/>
      <c r="O20" s="55"/>
      <c r="P20" s="55"/>
      <c r="Q20" s="55"/>
      <c r="R20" s="25" t="s">
        <v>86</v>
      </c>
      <c r="S20" s="3">
        <f>U8*V20/U5</f>
        <v>62.62274086815296</v>
      </c>
      <c r="T20" s="3"/>
      <c r="U20" s="5" t="s">
        <v>126</v>
      </c>
      <c r="V20" s="3">
        <f>((Design!B21+Design!B11)*0.5*References!U3+0.5*(Design!B23)*References!W3+References!Y3)/SQRT(References!U3*References!U3+References!W3*References!W3)</f>
        <v>2.933106543126407</v>
      </c>
      <c r="W20" s="3"/>
      <c r="X20" s="3"/>
      <c r="Y20" s="3"/>
      <c r="Z20" s="42" t="s">
        <v>86</v>
      </c>
      <c r="AA20" s="3">
        <f>AD20/AA5*AC8</f>
        <v>61.779858225674666</v>
      </c>
      <c r="AB20" s="3"/>
      <c r="AC20" s="5" t="s">
        <v>126</v>
      </c>
      <c r="AD20" s="3">
        <f>ABS(0.5*(Design!B21+Design!B11)*AB3+0.5*Design!B23*References!AD3+AF3)/SQRT(References!AB3*AB3+References!AD3*References!AD3)</f>
        <v>1.4356277066071885</v>
      </c>
      <c r="AE20" s="3"/>
      <c r="AF20" s="3"/>
      <c r="AG20" s="3"/>
      <c r="AH20" s="3"/>
      <c r="AI20" s="3"/>
    </row>
    <row r="21" spans="3:35" ht="16.5">
      <c r="C21" s="14">
        <v>0.25</v>
      </c>
      <c r="D21" s="15">
        <f>VLOOKUP(C21,C4:I16,MATCH(Design!B14,References!C3:I3,0))</f>
        <v>0.37</v>
      </c>
      <c r="E21" s="8"/>
      <c r="F21" s="20">
        <v>0.15</v>
      </c>
      <c r="G21" s="18">
        <f>VLOOKUP(F21,C4:I16,MATCH(Design!B14,References!C3:I3,0))</f>
        <v>0.28999999999999998</v>
      </c>
      <c r="H21" s="7"/>
      <c r="I21" s="20">
        <v>3</v>
      </c>
      <c r="J21" s="18">
        <f>VLOOKUP(I21,C4:I16,MATCH(Design!B14,References!C3:I3,0))</f>
        <v>0.96</v>
      </c>
      <c r="K21" s="21" t="s">
        <v>72</v>
      </c>
      <c r="L21" s="5">
        <f>qs(Design!B23,Design!B22,B15,N7,M7)</f>
        <v>114.7361111111111</v>
      </c>
      <c r="M21" s="3"/>
      <c r="N21" s="3"/>
      <c r="O21" s="3"/>
      <c r="P21" s="3"/>
      <c r="Q21" s="3"/>
      <c r="R21" s="25" t="s">
        <v>100</v>
      </c>
      <c r="S21" s="10">
        <f>AVERAGE(S19,S20)</f>
        <v>68.665846556555678</v>
      </c>
      <c r="T21" s="3"/>
      <c r="U21" s="3"/>
      <c r="V21" s="3"/>
      <c r="W21" s="3"/>
      <c r="X21" s="3"/>
      <c r="Y21" s="3"/>
      <c r="Z21" s="42" t="s">
        <v>120</v>
      </c>
      <c r="AA21" s="3">
        <f>AVERAGE(AA19,AA20)</f>
        <v>104.05242911283733</v>
      </c>
      <c r="AB21" s="3"/>
      <c r="AC21" s="3"/>
      <c r="AD21" s="3"/>
      <c r="AE21" s="3"/>
      <c r="AF21" s="3"/>
      <c r="AG21" s="3"/>
      <c r="AH21" s="3"/>
      <c r="AI21" s="3"/>
    </row>
    <row r="22" spans="3:35" ht="18">
      <c r="C22" s="17">
        <f>Design!E19</f>
        <v>0.34463740304305934</v>
      </c>
      <c r="D22" s="18">
        <f>D23-((C23-C22)/(C23-C21))*(D23-D21)</f>
        <v>0.41921144958239087</v>
      </c>
      <c r="E22" s="8"/>
      <c r="F22" s="7"/>
      <c r="G22" s="7"/>
      <c r="H22" s="7"/>
      <c r="I22" s="7"/>
      <c r="J22" s="20"/>
      <c r="K22" s="21" t="s">
        <v>84</v>
      </c>
      <c r="L22" s="5">
        <f>qs(Design!B23,Design!B22,B15,P7,O7)</f>
        <v>31.402777777777782</v>
      </c>
      <c r="M22" s="3"/>
      <c r="N22" s="3"/>
      <c r="O22" s="3"/>
      <c r="P22" s="3"/>
      <c r="Q22" s="3"/>
      <c r="R22" s="25" t="s">
        <v>122</v>
      </c>
      <c r="S22" s="10">
        <f>(V2-((V2-W2)*(Design!B21-(0.5*Design!B21+0.5*Design!B11)))/Design!B21)*(0.5*Design!B21-0.5*Design!B11)</f>
        <v>18.504464087854736</v>
      </c>
      <c r="T22" s="60" t="s">
        <v>124</v>
      </c>
      <c r="U22" s="61"/>
      <c r="V22" s="61"/>
      <c r="W22" s="3"/>
      <c r="X22" s="3"/>
      <c r="Y22" s="3"/>
      <c r="Z22" s="30" t="s">
        <v>122</v>
      </c>
      <c r="AA22" s="3">
        <f>Design!B23*(0.5*Design!B21-0.5*Design!B11)-0.5*((0.5*Design!B21-(Design!B21-References!AF2)-0.5*Design!B11)*(0.5*Design!B21-(Design!B21-References!AF2)-0.5*Design!B11)*TAN(RADIANS(References!Z5)))</f>
        <v>16.174687500000001</v>
      </c>
      <c r="AB22" s="3"/>
      <c r="AC22" s="3"/>
      <c r="AD22" s="3"/>
      <c r="AE22" s="3"/>
      <c r="AF22" s="3"/>
      <c r="AG22" s="3"/>
      <c r="AH22" s="3"/>
      <c r="AI22" s="3"/>
    </row>
    <row r="23" spans="3:35" ht="16.5">
      <c r="C23" s="14">
        <v>0.5</v>
      </c>
      <c r="D23" s="15">
        <f>VLOOKUP(C23,C4:I16,MATCH(Design!B14,References!C3:I3,0))</f>
        <v>0.5</v>
      </c>
      <c r="E23" s="13"/>
      <c r="F23" s="20"/>
      <c r="G23" s="20"/>
      <c r="H23" s="20"/>
      <c r="I23" s="20"/>
      <c r="J23" s="20"/>
      <c r="K23" s="25" t="s">
        <v>99</v>
      </c>
      <c r="L23" s="10">
        <f>Average_Intensity(Design!B21,Design!B20,Design!B11,L22,L21)</f>
        <v>73.069444444444443</v>
      </c>
      <c r="M23" s="3"/>
      <c r="N23" s="3"/>
      <c r="O23" s="3"/>
      <c r="P23" s="3"/>
      <c r="Q23" s="3"/>
      <c r="R23" s="25" t="s">
        <v>121</v>
      </c>
      <c r="S23" s="10">
        <f>0.5*(0.5*Design!B21-0.5*Design!B11)</f>
        <v>1.3875</v>
      </c>
      <c r="T23" s="3"/>
      <c r="U23" s="3"/>
      <c r="V23" s="3"/>
      <c r="W23" s="3"/>
      <c r="X23" s="3"/>
      <c r="Y23" s="3"/>
      <c r="Z23" s="30" t="s">
        <v>121</v>
      </c>
      <c r="AA23" s="3">
        <f>(Design!B23*(0.5*Design!B21-0.5*Design!B11)*(0.5*Design!B21-0.5*Design!B11)*0.5-((0.5*Design!B21-(Design!B21-References!AF2)-0.5*Design!B11)*0.5*((0.5*Design!B21-(Design!B21-References!AF2)-0.5*Design!B11)*(0.5*Design!B21-(Design!B21-References!AF2)-0.5*Design!B11)*TAN(RADIANS(References!Z5))))/3)/AA22</f>
        <v>1.4187228308120323</v>
      </c>
      <c r="AB23" s="3"/>
      <c r="AC23" s="3"/>
      <c r="AD23" s="3"/>
      <c r="AE23" s="3"/>
      <c r="AF23" s="3"/>
      <c r="AG23" s="3"/>
      <c r="AH23" s="3"/>
      <c r="AI23" s="3"/>
    </row>
    <row r="24" spans="3:35">
      <c r="C24" s="13"/>
      <c r="D24" s="13"/>
      <c r="E24" s="13"/>
      <c r="F24" s="20"/>
      <c r="G24" s="20"/>
      <c r="H24" s="20"/>
      <c r="I24" s="20"/>
      <c r="J24" s="20"/>
      <c r="K24" s="55" t="s">
        <v>51</v>
      </c>
      <c r="L24" s="55"/>
      <c r="M24" s="55"/>
      <c r="N24" s="55"/>
      <c r="O24" s="55"/>
      <c r="P24" s="55"/>
      <c r="Q24" s="55"/>
      <c r="R24" s="58" t="s">
        <v>80</v>
      </c>
      <c r="S24" s="59"/>
      <c r="T24" s="59"/>
      <c r="U24" s="59"/>
      <c r="V24" s="59"/>
      <c r="W24" s="59"/>
      <c r="X24" s="59"/>
      <c r="Y24" s="59"/>
      <c r="Z24" s="58" t="s">
        <v>80</v>
      </c>
      <c r="AA24" s="59"/>
      <c r="AB24" s="59"/>
      <c r="AC24" s="59"/>
      <c r="AD24" s="59"/>
      <c r="AE24" s="59"/>
      <c r="AF24" s="59"/>
      <c r="AG24" s="59"/>
      <c r="AH24" s="59"/>
      <c r="AI24" s="3"/>
    </row>
    <row r="25" spans="3:35">
      <c r="C25" s="12" t="s">
        <v>39</v>
      </c>
      <c r="D25" s="13"/>
      <c r="E25" s="13"/>
      <c r="F25" s="20"/>
      <c r="G25" s="20"/>
      <c r="H25" s="20"/>
      <c r="I25" s="20"/>
      <c r="J25" s="20"/>
      <c r="K25" s="21" t="s">
        <v>85</v>
      </c>
      <c r="L25" s="5">
        <f>qs(Design!B21,Design!B20,B15,P7,N7)</f>
        <v>31.402777777777771</v>
      </c>
      <c r="M25" s="3"/>
      <c r="N25" s="3"/>
      <c r="O25" s="3"/>
      <c r="P25" s="3"/>
      <c r="Q25" s="3"/>
      <c r="R25" s="55" t="s">
        <v>33</v>
      </c>
      <c r="S25" s="55"/>
      <c r="T25" s="55"/>
      <c r="U25" s="55"/>
      <c r="V25" s="55"/>
      <c r="W25" s="55"/>
      <c r="X25" s="55"/>
      <c r="Y25" s="55"/>
      <c r="Z25" s="55" t="s">
        <v>33</v>
      </c>
      <c r="AA25" s="55"/>
      <c r="AB25" s="55"/>
      <c r="AC25" s="55"/>
      <c r="AD25" s="55"/>
      <c r="AE25" s="55"/>
      <c r="AF25" s="55"/>
      <c r="AG25" s="55"/>
      <c r="AH25" s="55"/>
      <c r="AI25" s="3"/>
    </row>
    <row r="26" spans="3:35" ht="16.5">
      <c r="C26" s="66" t="s">
        <v>28</v>
      </c>
      <c r="D26" s="67"/>
      <c r="E26" s="8"/>
      <c r="F26" s="68" t="s">
        <v>29</v>
      </c>
      <c r="G26" s="68"/>
      <c r="H26" s="7"/>
      <c r="I26" s="68" t="s">
        <v>30</v>
      </c>
      <c r="J26" s="68"/>
      <c r="K26" s="21" t="s">
        <v>86</v>
      </c>
      <c r="L26" s="5">
        <f>qs(Design!B21,Design!B20,B15,O7,M7)</f>
        <v>114.7361111111111</v>
      </c>
      <c r="M26" s="3"/>
      <c r="N26" s="3"/>
      <c r="O26" s="3"/>
      <c r="P26" s="3"/>
      <c r="Q26" s="3"/>
      <c r="R26" s="25" t="s">
        <v>72</v>
      </c>
      <c r="S26" s="5">
        <f>U8*V26/U5</f>
        <v>117.27333573903798</v>
      </c>
      <c r="U26" s="5" t="s">
        <v>131</v>
      </c>
      <c r="V26" s="5">
        <f>((Design!B21+Design!B11+B15/1000)*0.5*References!U3+(Design!B23)*References!W3+References!Y3)/SQRT(References!U3*References!U3+References!W3*References!W3)</f>
        <v>5.4928159263204996</v>
      </c>
      <c r="Z26" s="42" t="s">
        <v>72</v>
      </c>
      <c r="AA26" s="3">
        <f>AD26*AC8/AA5</f>
        <v>169.21660333443174</v>
      </c>
      <c r="AB26" s="3"/>
      <c r="AC26" s="5" t="s">
        <v>131</v>
      </c>
      <c r="AD26" s="3">
        <f>((0.5*Design!B21+0.5*Design!B11+(B15/1000)-(0.5*Design!B23-(Design!B23-References!AG2))/TAN(RADIANS(References!Z5)))*TAN(RADIANS(References!Z5))+0.5*Design!B23)*COS(RADIANS(References!Z5))</f>
        <v>3.9322208101783911</v>
      </c>
      <c r="AE26" s="3"/>
      <c r="AF26" s="3"/>
      <c r="AG26" s="3"/>
      <c r="AH26" s="3"/>
      <c r="AI26" s="3"/>
    </row>
    <row r="27" spans="3:35" ht="16.5">
      <c r="C27" s="7" t="s">
        <v>25</v>
      </c>
      <c r="D27" s="7" t="s">
        <v>38</v>
      </c>
      <c r="E27" s="8"/>
      <c r="F27" s="7" t="s">
        <v>25</v>
      </c>
      <c r="G27" s="7" t="s">
        <v>38</v>
      </c>
      <c r="H27" s="7"/>
      <c r="I27" s="7" t="s">
        <v>25</v>
      </c>
      <c r="J27" s="7" t="s">
        <v>38</v>
      </c>
      <c r="K27" s="21" t="s">
        <v>100</v>
      </c>
      <c r="L27" s="10">
        <f>Average_Intensity(Design!B23,Design!B22,Design!B12,L26,L25)</f>
        <v>73.069444444444429</v>
      </c>
      <c r="M27" s="3"/>
      <c r="N27" s="3"/>
      <c r="O27" s="3"/>
      <c r="P27" s="3"/>
      <c r="Q27" s="3"/>
      <c r="R27" s="25" t="s">
        <v>84</v>
      </c>
      <c r="S27" s="5">
        <f>U8*V27/U5</f>
        <v>15.396041213366411</v>
      </c>
      <c r="U27" s="5" t="s">
        <v>133</v>
      </c>
      <c r="V27">
        <f>((Design!B21*0.5+B15/1000)*References!U3+References!Y3)/SQRT(References!U3*References!U3+References!W3*References!W3)</f>
        <v>0.72111550205452979</v>
      </c>
      <c r="Z27" s="42" t="s">
        <v>84</v>
      </c>
      <c r="AA27" s="3">
        <f>AD27*AC8/AA5</f>
        <v>101.08569614763212</v>
      </c>
      <c r="AB27" s="3"/>
      <c r="AC27" s="5" t="s">
        <v>133</v>
      </c>
      <c r="AD27" s="3">
        <f>((0.5*Design!B21+0.5*Design!B11+(References!B15/1000)-(0.5*Design!B23-(Design!B23-References!AG2))/TAN(RADIANS(References!Z5)))*TAN(RADIANS(References!Z5))+0.5*Design!B12+(References!B15/1000))*COS(RADIANS(References!Z5))</f>
        <v>2.3490087271017113</v>
      </c>
      <c r="AE27" s="3"/>
      <c r="AF27" s="3"/>
      <c r="AG27" s="3"/>
      <c r="AH27" s="3"/>
      <c r="AI27" s="3"/>
    </row>
    <row r="28" spans="3:35" ht="16.5">
      <c r="C28" s="14">
        <v>0.25</v>
      </c>
      <c r="D28" s="15">
        <f>VLOOKUP(C28,C4:I16,MATCH(Design!B14,References!C3:I3,0))</f>
        <v>0.37</v>
      </c>
      <c r="E28" s="8"/>
      <c r="F28" s="7">
        <v>0.15</v>
      </c>
      <c r="G28" s="18">
        <f>VLOOKUP(F28,C4:I16,MATCH(Design!B14,References!C3:I3,0))</f>
        <v>0.28999999999999998</v>
      </c>
      <c r="H28" s="7"/>
      <c r="I28" s="7">
        <v>3</v>
      </c>
      <c r="J28" s="18">
        <f>VLOOKUP(I28,C4:I16,MATCH(Design!B14,References!C3:I3,0))</f>
        <v>0.96</v>
      </c>
      <c r="K28" s="58" t="s">
        <v>82</v>
      </c>
      <c r="L28" s="65"/>
      <c r="M28" s="65"/>
      <c r="N28" s="65"/>
      <c r="O28" s="65"/>
      <c r="P28" s="65"/>
      <c r="Q28" s="65"/>
      <c r="R28" s="25" t="s">
        <v>99</v>
      </c>
      <c r="S28" s="10">
        <f>AVERAGE(S26,S27)</f>
        <v>66.334688476202189</v>
      </c>
      <c r="Z28" s="30" t="s">
        <v>99</v>
      </c>
      <c r="AA28" s="3">
        <f>AVERAGE(AA26,AA27)</f>
        <v>135.15114974103193</v>
      </c>
      <c r="AB28" s="3"/>
      <c r="AC28" s="3"/>
      <c r="AD28" s="3"/>
      <c r="AE28" s="3"/>
      <c r="AF28" s="3"/>
      <c r="AG28" s="3"/>
      <c r="AH28" s="3"/>
      <c r="AI28" s="3"/>
    </row>
    <row r="29" spans="3:35">
      <c r="C29" s="17">
        <f>Design!E24</f>
        <v>1.0339122091291781</v>
      </c>
      <c r="D29" s="16">
        <f>D30-((C30-C29)/(C30-C28))*(D30-D28)</f>
        <v>0.77763434874717263</v>
      </c>
      <c r="E29" s="8"/>
      <c r="F29" s="8"/>
      <c r="G29" s="8"/>
      <c r="H29" s="8"/>
      <c r="I29" s="8"/>
      <c r="J29" s="8"/>
      <c r="K29" s="55" t="s">
        <v>33</v>
      </c>
      <c r="L29" s="55"/>
      <c r="M29" s="55"/>
      <c r="N29" s="55"/>
      <c r="O29" s="55"/>
      <c r="P29" s="55"/>
      <c r="Q29" s="55"/>
      <c r="R29" s="55" t="s">
        <v>51</v>
      </c>
      <c r="S29" s="55"/>
      <c r="T29" s="55"/>
      <c r="U29" s="55"/>
      <c r="V29" s="55"/>
      <c r="W29" s="55"/>
      <c r="X29" s="55"/>
      <c r="Y29" s="55"/>
      <c r="Z29" s="55" t="s">
        <v>51</v>
      </c>
      <c r="AA29" s="55"/>
      <c r="AB29" s="55"/>
      <c r="AC29" s="55"/>
      <c r="AD29" s="55"/>
      <c r="AE29" s="55"/>
      <c r="AF29" s="55"/>
      <c r="AG29" s="55"/>
      <c r="AH29" s="55"/>
      <c r="AI29" s="3"/>
    </row>
    <row r="30" spans="3:35" ht="16.5">
      <c r="C30" s="14">
        <v>0.5</v>
      </c>
      <c r="D30" s="15">
        <f>VLOOKUP(C30,C4:I16,MATCH(Design!B14,References!C3:I3,0))</f>
        <v>0.5</v>
      </c>
      <c r="E30" s="8"/>
      <c r="F30" s="8"/>
      <c r="G30" s="8"/>
      <c r="H30" s="8"/>
      <c r="I30" s="8"/>
      <c r="J30" s="8"/>
      <c r="K30" s="23" t="s">
        <v>74</v>
      </c>
      <c r="L30" s="5">
        <f>Qs_two_back(Design!B23,Design!B22,Design!B12,B15,N7,M7)</f>
        <v>97.319444444444429</v>
      </c>
      <c r="M30" s="11"/>
      <c r="N30" s="11"/>
      <c r="O30" s="11"/>
      <c r="P30" s="11"/>
      <c r="Q30" s="11"/>
      <c r="R30" s="25" t="s">
        <v>85</v>
      </c>
      <c r="S30" s="5">
        <f>U8*V30/U5</f>
        <v>34.263394675941733</v>
      </c>
      <c r="U30" s="5" t="s">
        <v>134</v>
      </c>
      <c r="V30">
        <f>((0.5*(Design!B23+Design!B12)+References!B15/1000)*References!W3+References!Y3)/SQRT(References!U3*References!U3+References!W3*References!W3)</f>
        <v>1.6048193630700049</v>
      </c>
      <c r="Z30" s="42" t="s">
        <v>85</v>
      </c>
      <c r="AA30" s="3">
        <f>AD30*AC8/AA5</f>
        <v>169.21660333443177</v>
      </c>
      <c r="AB30" s="3"/>
      <c r="AC30" s="5" t="s">
        <v>134</v>
      </c>
      <c r="AD30" s="3">
        <f>(0.5*Design!B23+0.5*Design!B12+(B15/1000)+(Design!B21-References!AF2)*TAN(RADIANS(References!Z5)))*COS(RADIANS(References!Z5))</f>
        <v>3.9322208101783915</v>
      </c>
      <c r="AE30" s="3"/>
      <c r="AF30" s="3"/>
      <c r="AG30" s="3"/>
      <c r="AH30" s="3"/>
      <c r="AI30" s="3"/>
    </row>
    <row r="31" spans="3:35" ht="16.5">
      <c r="K31" s="23" t="s">
        <v>92</v>
      </c>
      <c r="L31" s="5">
        <f>Qs_two_back(Design!B23,Design!B22,Design!B12,B15,References!P7,References!O7)</f>
        <v>13.986111111111116</v>
      </c>
      <c r="M31" s="11"/>
      <c r="N31" s="11"/>
      <c r="O31" s="11"/>
      <c r="P31" s="11"/>
      <c r="Q31" s="11"/>
      <c r="R31" s="25" t="s">
        <v>86</v>
      </c>
      <c r="S31" s="5">
        <f>U8*V31/U5</f>
        <v>111.19495131944905</v>
      </c>
      <c r="U31" s="5" t="s">
        <v>132</v>
      </c>
      <c r="V31" s="5">
        <f>(Design!B21*References!U3+(0.5*(Design!B23+Design!B12)+References!B15/1000)*References!W3+References!Y3)/SQRT(References!U3*References!U3+References!W3*References!W3)</f>
        <v>5.2081182451654948</v>
      </c>
      <c r="Z31" s="42" t="s">
        <v>86</v>
      </c>
      <c r="AA31" s="3">
        <f>AD31*AC8/AA5</f>
        <v>101.08569614763215</v>
      </c>
      <c r="AB31" s="3"/>
      <c r="AC31" s="5" t="s">
        <v>132</v>
      </c>
      <c r="AD31" s="3">
        <f>(0.5*Design!B23+0.5*Design!B12+(B15/1000)-(0.5*Design!B21-(Design!B21-References!AF2)-0.5*Design!B11-(B15/1000))*TAN(RADIANS(References!Z5)))*COS(RADIANS(References!Z5))</f>
        <v>2.3490087271017117</v>
      </c>
      <c r="AE31" s="3"/>
      <c r="AF31" s="3"/>
      <c r="AG31" s="3"/>
      <c r="AH31" s="3"/>
      <c r="AI31" s="3"/>
    </row>
    <row r="32" spans="3:35" ht="16.5">
      <c r="K32" s="23" t="s">
        <v>93</v>
      </c>
      <c r="L32" s="5">
        <f>Qs_two(Design!B21,Design!B20,B15,L31,L30)</f>
        <v>62.499999999999993</v>
      </c>
      <c r="M32" s="11"/>
      <c r="N32" s="11"/>
      <c r="O32" s="11"/>
      <c r="P32" s="11"/>
      <c r="Q32" s="11"/>
      <c r="R32" s="25" t="s">
        <v>100</v>
      </c>
      <c r="S32" s="10">
        <f>AVERAGE(S30,S31)</f>
        <v>72.729172997695386</v>
      </c>
      <c r="Z32" s="30" t="s">
        <v>100</v>
      </c>
      <c r="AA32" s="3">
        <f>AVERAGE(AA30,AA31)</f>
        <v>135.15114974103196</v>
      </c>
      <c r="AB32" s="3"/>
      <c r="AC32" s="3"/>
      <c r="AD32" s="3"/>
      <c r="AE32" s="3"/>
      <c r="AF32" s="3"/>
      <c r="AG32" s="3"/>
      <c r="AH32" s="3"/>
      <c r="AI32" s="3"/>
    </row>
    <row r="33" spans="11:35">
      <c r="K33" s="23" t="s">
        <v>94</v>
      </c>
      <c r="L33" s="5">
        <f>Qs_two_back(Design!B21,Design!B20,Design!B11,B15,L31,L30)</f>
        <v>48.805555555555557</v>
      </c>
      <c r="M33" s="11"/>
      <c r="N33" s="11"/>
      <c r="O33" s="11"/>
      <c r="P33" s="11"/>
      <c r="Q33" s="11"/>
      <c r="R33" s="58" t="s">
        <v>82</v>
      </c>
      <c r="S33" s="59"/>
      <c r="T33" s="59"/>
      <c r="U33" s="59"/>
      <c r="V33" s="59"/>
      <c r="W33" s="59"/>
      <c r="X33" s="59"/>
      <c r="Y33" s="59"/>
      <c r="Z33" s="58" t="s">
        <v>82</v>
      </c>
      <c r="AA33" s="59"/>
      <c r="AB33" s="59"/>
      <c r="AC33" s="59"/>
      <c r="AD33" s="59"/>
      <c r="AE33" s="59"/>
      <c r="AF33" s="59"/>
      <c r="AG33" s="59"/>
      <c r="AH33" s="59"/>
      <c r="AI33" s="3"/>
    </row>
    <row r="34" spans="11:35" ht="16.5">
      <c r="K34" s="23"/>
      <c r="L34" s="5"/>
      <c r="M34" s="11"/>
      <c r="N34" s="11"/>
      <c r="O34" s="11"/>
      <c r="P34" s="11"/>
      <c r="Q34" s="11"/>
      <c r="R34" s="29" t="s">
        <v>85</v>
      </c>
      <c r="S34" s="5">
        <f>U8*V34/U5</f>
        <v>74.475236767013598</v>
      </c>
      <c r="T34" s="5"/>
      <c r="U34" s="5" t="s">
        <v>127</v>
      </c>
      <c r="V34" s="5">
        <f>(0.5*Design!B21+0.5*Design!B11+0.5*References!B15*10^(-3)-References!R5)*COS(RADIANS(References!T5))+(0.5*Design!B12+0.5*References!B15*10^(-3))*SIN(RADIANS(References!T5))</f>
        <v>3.4882504539705699</v>
      </c>
      <c r="Z34" s="29" t="s">
        <v>85</v>
      </c>
      <c r="AA34" s="3">
        <f>AD34*AC8/AA5</f>
        <v>84.775662091301399</v>
      </c>
      <c r="AB34" s="3"/>
      <c r="AC34" s="5" t="s">
        <v>127</v>
      </c>
      <c r="AD34" s="3">
        <f>(0.5*Design!B23+0.5*Design!B12+0.5*(B15/1000)-(0.5*Design!B21-(Design!B21-References!AF2)-0.5*Design!B11-0.5*(B15/1000))*TAN(RADIANS(References!Z5)))*COS(RADIANS(References!Z5))</f>
        <v>1.9699994923857225</v>
      </c>
      <c r="AE34" s="3"/>
      <c r="AF34" s="3"/>
      <c r="AG34" s="3"/>
      <c r="AH34" s="3"/>
      <c r="AI34" s="3"/>
    </row>
    <row r="35" spans="11:35" ht="16.5">
      <c r="K35" s="23" t="s">
        <v>95</v>
      </c>
      <c r="L35" s="5">
        <f>Qs_two(Design!B23,Design!B22,B15,References!N7,M7)</f>
        <v>111.01388888888887</v>
      </c>
      <c r="M35" s="11"/>
      <c r="N35" s="11"/>
      <c r="O35" s="11"/>
      <c r="P35" s="11"/>
      <c r="Q35" s="11"/>
      <c r="R35" s="29" t="s">
        <v>86</v>
      </c>
      <c r="S35" s="5">
        <f>U8*V35/U5</f>
        <v>57.642797362779028</v>
      </c>
      <c r="T35" s="5"/>
      <c r="U35" s="5" t="s">
        <v>128</v>
      </c>
      <c r="V35" s="5">
        <f>(0.5*Design!B21+0.5*Design!B11+0.5*References!B15*10^(-3)-References!R5)*COS(RADIANS(References!T5))-(0.5*Design!B12+0.5*References!B15*10^(-3))*SIN(RADIANS(References!T5))</f>
        <v>2.6998573324161099</v>
      </c>
      <c r="Z35" s="29" t="s">
        <v>86</v>
      </c>
      <c r="AA35" s="3">
        <f>AD35*AC8/AA5</f>
        <v>54.772502427976484</v>
      </c>
      <c r="AB35" s="3"/>
      <c r="AC35" s="5" t="s">
        <v>128</v>
      </c>
      <c r="AD35" s="3">
        <f>(0.5*Design!B23-0.5*Design!B12-0.5*(B15/1000)-(0.5*Design!B21-(Design!B21-References!AF2)-0.5*Design!B11-0.5*(B15/1000))*TAN(RADIANS(References!Z5)))*COS(RADIANS(References!Z5))</f>
        <v>1.2727922061357859</v>
      </c>
      <c r="AE35" s="3"/>
      <c r="AF35" s="3"/>
      <c r="AG35" s="3"/>
      <c r="AH35" s="3"/>
      <c r="AI35" s="3"/>
    </row>
    <row r="36" spans="11:35" ht="16.5">
      <c r="K36" s="23" t="s">
        <v>96</v>
      </c>
      <c r="L36" s="5">
        <f>Qs_two(Design!B23,Design!B22,B15,P7,O7)</f>
        <v>27.680555555555557</v>
      </c>
      <c r="M36" s="11"/>
      <c r="N36" s="11"/>
      <c r="O36" s="11"/>
      <c r="P36" s="11"/>
      <c r="Q36" s="11"/>
      <c r="R36" s="29" t="s">
        <v>72</v>
      </c>
      <c r="S36" s="5">
        <f>U8*V36/U5</f>
        <v>61.832817625263885</v>
      </c>
      <c r="T36" s="5"/>
      <c r="U36" s="5" t="s">
        <v>129</v>
      </c>
      <c r="V36" s="5">
        <f>((0.5*Design!B21+0.5*Design!B11+0.5*References!B15*10^(-3)-References!R5)-(Design!B11+References!B15*10^(-3)))*COS(RADIANS(References!T5))+(0.5*Design!B12+0.5*References!B15*10^(-3))*SIN(RADIANS(References!T5))</f>
        <v>2.8961083376795442</v>
      </c>
      <c r="Z36" s="29" t="s">
        <v>72</v>
      </c>
      <c r="AA36" s="3">
        <f>AD36*AC8/AA5</f>
        <v>54.77250242797647</v>
      </c>
      <c r="AB36" s="3"/>
      <c r="AC36" s="5" t="s">
        <v>129</v>
      </c>
      <c r="AD36" s="3">
        <f>(((0.5*Design!B21-0.5*Design!B11-0.5*(B15/1000))-(0.5*Design!B23-(Design!B23-References!AG2))/TAN(RADIANS(References!Z5)))*TAN(RADIANS(References!Z5))+0.5*Design!B12+0.5*(B15/1000))*COS(RADIANS(References!Z5))</f>
        <v>1.2727922061357857</v>
      </c>
      <c r="AE36" s="3"/>
      <c r="AF36" s="3"/>
      <c r="AG36" s="3"/>
      <c r="AH36" s="3"/>
      <c r="AI36" s="3"/>
    </row>
    <row r="37" spans="11:35" ht="16.5">
      <c r="K37" s="23" t="s">
        <v>97</v>
      </c>
      <c r="L37" s="5">
        <f>Qs_two(Design!B23,Design!B20,B15,L36,L35)</f>
        <v>76.194444444444429</v>
      </c>
      <c r="M37" s="11"/>
      <c r="N37" s="11"/>
      <c r="O37" s="11"/>
      <c r="P37" s="11"/>
      <c r="Q37" s="11"/>
      <c r="R37" s="29" t="s">
        <v>84</v>
      </c>
      <c r="S37" s="5">
        <f>U8*V37/U5</f>
        <v>45.000378221029322</v>
      </c>
      <c r="T37" s="5"/>
      <c r="U37" s="5" t="s">
        <v>130</v>
      </c>
      <c r="V37" s="5">
        <f>((0.5*Design!B21+0.5*Design!B11+0.5*References!B15*10^(-3)-References!R5)-(Design!B11+References!B15*10^(-3)))*COS(RADIANS(References!T5))-(0.5*Design!B12+0.5*References!B15*10^(-3))*SIN(RADIANS(References!T5))</f>
        <v>2.1077152161250843</v>
      </c>
      <c r="Z37" s="29" t="s">
        <v>84</v>
      </c>
      <c r="AA37" s="3">
        <f>AD37*AC8/AA5</f>
        <v>24.769342764651576</v>
      </c>
      <c r="AB37" s="3"/>
      <c r="AC37" s="5" t="s">
        <v>130</v>
      </c>
      <c r="AD37" s="3">
        <f>(((((0.5*Design!B21-0.5*Design!B11-0.5*(B15/1000))-(0.5*Design!B23-(Design!B23-References!AG2))/TAN(RADIANS(References!Z5))))*TAN(RADIANS(References!Z5)))-0.5*Design!B12-0.5*(References!B15/1000))*COS(RADIANS(References!Z5))</f>
        <v>0.57558491988584959</v>
      </c>
      <c r="AE37" s="3"/>
      <c r="AF37" s="3"/>
      <c r="AG37" s="3"/>
      <c r="AH37" s="3"/>
      <c r="AI37" s="3"/>
    </row>
    <row r="38" spans="11:35" ht="16.5">
      <c r="K38" s="23" t="s">
        <v>98</v>
      </c>
      <c r="L38" s="5">
        <f>Qs_two_back(Design!B21,Design!B20,Design!B11,B15,L36,L35)</f>
        <v>62.499999999999993</v>
      </c>
      <c r="M38" s="11"/>
      <c r="N38" s="11"/>
      <c r="O38" s="11"/>
      <c r="P38" s="11"/>
      <c r="Q38" s="11"/>
      <c r="R38" s="25" t="s">
        <v>100</v>
      </c>
      <c r="S38" s="10">
        <f>AVERAGE(S34,S35,S36,S37)</f>
        <v>59.737807494021453</v>
      </c>
      <c r="T38" s="3"/>
      <c r="U38" s="3"/>
      <c r="Z38" s="30" t="s">
        <v>100</v>
      </c>
      <c r="AA38" s="3">
        <f>AVERAGE(AA34,AA35,AA36,AA37)</f>
        <v>54.772502427976484</v>
      </c>
      <c r="AB38" s="3"/>
      <c r="AC38" s="3"/>
      <c r="AD38" s="3"/>
      <c r="AE38" s="3"/>
      <c r="AF38" s="3"/>
      <c r="AG38" s="3"/>
      <c r="AH38" s="3"/>
      <c r="AI38" s="3"/>
    </row>
    <row r="39" spans="11:35">
      <c r="K39" s="55" t="s">
        <v>51</v>
      </c>
      <c r="L39" s="55"/>
      <c r="M39" s="55"/>
      <c r="N39" s="55"/>
      <c r="O39" s="55"/>
      <c r="P39" s="55"/>
      <c r="Q39" s="55"/>
      <c r="W39" s="24"/>
      <c r="X39" s="24"/>
    </row>
    <row r="40" spans="11:35">
      <c r="K40" s="21" t="s">
        <v>85</v>
      </c>
      <c r="L40" s="5">
        <f>Qs_two(Design!B21,Design!B20,B15,P7,N7)</f>
        <v>27.680555555555546</v>
      </c>
    </row>
    <row r="41" spans="11:35">
      <c r="K41" s="21" t="s">
        <v>86</v>
      </c>
      <c r="L41" s="5">
        <f>Qs_two(Design!B21,Design!B20,B15,O7,M7)</f>
        <v>111.01388888888887</v>
      </c>
    </row>
    <row r="42" spans="11:35">
      <c r="K42" s="21" t="s">
        <v>88</v>
      </c>
      <c r="L42" s="5">
        <f>Qs_two_back(Design!B23,Design!B22,Design!B12,B15,L40,L41)</f>
        <v>62.499999999999993</v>
      </c>
    </row>
    <row r="43" spans="11:35">
      <c r="K43" s="21" t="s">
        <v>89</v>
      </c>
      <c r="L43" s="5">
        <f>Qs_two(Design!B23,Design!B22,B15,L40,L41)</f>
        <v>76.194444444444429</v>
      </c>
    </row>
    <row r="44" spans="11:35">
      <c r="L44" s="5"/>
    </row>
    <row r="45" spans="11:35">
      <c r="K45" s="21" t="s">
        <v>72</v>
      </c>
      <c r="L45" s="5">
        <f>Qs_two_back(Design!B21,Design!B20,Design!B11,B15,P7,N7)</f>
        <v>13.986111111111109</v>
      </c>
    </row>
    <row r="46" spans="11:35">
      <c r="K46" s="21" t="s">
        <v>73</v>
      </c>
      <c r="L46" s="5">
        <f>Qs_two_back(Design!B21,Design!B20,Design!B11,B15,O7,M7)</f>
        <v>97.319444444444443</v>
      </c>
    </row>
    <row r="47" spans="11:35">
      <c r="K47" s="21" t="s">
        <v>90</v>
      </c>
      <c r="L47" s="5">
        <f>Qs_two_back(Design!B23,Design!B22,Design!B12,References!B15,L45,L46)</f>
        <v>48.80555555555555</v>
      </c>
    </row>
    <row r="48" spans="11:35">
      <c r="K48" s="21" t="s">
        <v>91</v>
      </c>
      <c r="L48" s="5">
        <f>Qs_two(Design!B23,Design!B22,B15,L45,L46)</f>
        <v>62.499999999999993</v>
      </c>
    </row>
    <row r="50" spans="11:12" ht="16.5">
      <c r="K50" s="25" t="s">
        <v>99</v>
      </c>
      <c r="L50" s="10">
        <f>(MAX(L42,L32)+MAX(L43,L37)+MAX(L47,L33)+MAX(L48,L38))/4</f>
        <v>62.5</v>
      </c>
    </row>
    <row r="51" spans="11:12">
      <c r="K51" s="30"/>
      <c r="L51" s="10"/>
    </row>
  </sheetData>
  <mergeCells count="42">
    <mergeCell ref="C26:D26"/>
    <mergeCell ref="F26:G26"/>
    <mergeCell ref="I26:J26"/>
    <mergeCell ref="C1:I1"/>
    <mergeCell ref="D2:I2"/>
    <mergeCell ref="C19:D19"/>
    <mergeCell ref="F19:G19"/>
    <mergeCell ref="I19:J19"/>
    <mergeCell ref="K39:Q39"/>
    <mergeCell ref="K29:Q29"/>
    <mergeCell ref="K1:Q1"/>
    <mergeCell ref="K4:Q4"/>
    <mergeCell ref="K9:Q9"/>
    <mergeCell ref="K10:Q10"/>
    <mergeCell ref="K15:Q15"/>
    <mergeCell ref="K11:Q11"/>
    <mergeCell ref="K19:Q19"/>
    <mergeCell ref="K20:Q20"/>
    <mergeCell ref="K24:Q24"/>
    <mergeCell ref="K28:Q28"/>
    <mergeCell ref="Z7:AB7"/>
    <mergeCell ref="Z8:AB8"/>
    <mergeCell ref="R29:Y29"/>
    <mergeCell ref="R25:Y25"/>
    <mergeCell ref="R33:Y33"/>
    <mergeCell ref="R18:Y18"/>
    <mergeCell ref="T16:V16"/>
    <mergeCell ref="T22:V22"/>
    <mergeCell ref="R24:Y24"/>
    <mergeCell ref="R11:Y11"/>
    <mergeCell ref="R12:Y12"/>
    <mergeCell ref="R7:T7"/>
    <mergeCell ref="R8:T8"/>
    <mergeCell ref="R10:Y10"/>
    <mergeCell ref="Z33:AH33"/>
    <mergeCell ref="Z24:AH24"/>
    <mergeCell ref="Z25:AH25"/>
    <mergeCell ref="Z29:AH29"/>
    <mergeCell ref="Z10:AI10"/>
    <mergeCell ref="Z11:AI11"/>
    <mergeCell ref="Z12:AI12"/>
    <mergeCell ref="Z18:AH1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Design</vt:lpstr>
      <vt:lpstr>Final Data</vt:lpstr>
      <vt:lpstr>References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DELL</cp:lastModifiedBy>
  <cp:lastPrinted>2021-05-31T09:46:13Z</cp:lastPrinted>
  <dcterms:created xsi:type="dcterms:W3CDTF">2020-03-04T16:19:55Z</dcterms:created>
  <dcterms:modified xsi:type="dcterms:W3CDTF">2021-05-31T09:49:46Z</dcterms:modified>
</cp:coreProperties>
</file>