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ata\project\excels\"/>
    </mc:Choice>
  </mc:AlternateContent>
  <bookViews>
    <workbookView xWindow="0" yWindow="0" windowWidth="20490" windowHeight="7755"/>
  </bookViews>
  <sheets>
    <sheet name="Design" sheetId="1" r:id="rId1"/>
    <sheet name="References" sheetId="2" r:id="rId2"/>
    <sheet name="Sheet3" sheetId="3" r:id="rId3"/>
  </sheets>
  <functionGroups builtInGroupCount="18"/>
  <calcPr calcId="152511"/>
</workbook>
</file>

<file path=xl/calcChain.xml><?xml version="1.0" encoding="utf-8"?>
<calcChain xmlns="http://schemas.openxmlformats.org/spreadsheetml/2006/main">
  <c r="A29" i="1" l="1"/>
  <c r="B28" i="1" l="1"/>
  <c r="B21" i="1" l="1"/>
  <c r="B26" i="1"/>
  <c r="B22" i="1" l="1"/>
  <c r="B14" i="2" s="1"/>
  <c r="K36" i="1"/>
  <c r="K17" i="1"/>
  <c r="L32" i="1"/>
  <c r="H32" i="1"/>
  <c r="K40" i="1"/>
  <c r="B6" i="1"/>
  <c r="B19" i="1"/>
  <c r="B23" i="1"/>
  <c r="L7" i="2"/>
  <c r="B5" i="1"/>
  <c r="D32" i="1"/>
  <c r="D31" i="1"/>
  <c r="J28" i="2"/>
  <c r="G28" i="2"/>
  <c r="D30" i="2"/>
  <c r="D28" i="2"/>
  <c r="D21" i="2"/>
  <c r="B37" i="1"/>
  <c r="B10" i="2"/>
  <c r="J21" i="2"/>
  <c r="G21" i="2"/>
  <c r="D23" i="2"/>
  <c r="D5" i="1"/>
  <c r="D12" i="1" s="1"/>
  <c r="O3" i="2" l="1"/>
  <c r="B27" i="1"/>
  <c r="N3" i="2"/>
  <c r="B17" i="1"/>
  <c r="M3" i="2" l="1"/>
  <c r="L3" i="2"/>
  <c r="K4" i="2" l="1"/>
  <c r="B25" i="1" s="1"/>
  <c r="O7" i="2"/>
  <c r="P7" i="2"/>
  <c r="M7" i="2"/>
  <c r="L13" i="2"/>
  <c r="L17" i="2"/>
  <c r="N7" i="2" l="1"/>
  <c r="N16" i="2" s="1"/>
  <c r="N12" i="2"/>
  <c r="L12" i="2"/>
  <c r="L16" i="2"/>
  <c r="L18" i="2"/>
  <c r="L14" i="2"/>
  <c r="N14" i="2" l="1"/>
  <c r="B31" i="1" s="1"/>
  <c r="N18" i="2"/>
  <c r="B32" i="1" s="1"/>
  <c r="B35" i="1" s="1"/>
  <c r="B34" i="1" l="1"/>
  <c r="B33" i="1"/>
  <c r="B13" i="2" l="1"/>
  <c r="B3" i="2"/>
  <c r="B2" i="2"/>
  <c r="B36" i="1" s="1"/>
  <c r="B39" i="1" s="1"/>
  <c r="H13" i="1" l="1"/>
  <c r="B15" i="2"/>
  <c r="B40" i="1"/>
  <c r="D8" i="1"/>
  <c r="D15" i="1"/>
  <c r="C5" i="1"/>
  <c r="E5" i="1" s="1"/>
  <c r="L26" i="2"/>
  <c r="L46" i="2"/>
  <c r="L31" i="2"/>
  <c r="L35" i="2"/>
  <c r="L30" i="2"/>
  <c r="L40" i="2"/>
  <c r="L36" i="2"/>
  <c r="L41" i="2"/>
  <c r="L21" i="2"/>
  <c r="L45" i="2"/>
  <c r="L25" i="2"/>
  <c r="L27" i="2" s="1"/>
  <c r="L22" i="2"/>
  <c r="L23" i="2" s="1"/>
  <c r="L32" i="2"/>
  <c r="L33" i="2"/>
  <c r="L37" i="2"/>
  <c r="L42" i="2"/>
  <c r="L43" i="2"/>
  <c r="L47" i="2"/>
  <c r="C8" i="1" l="1"/>
  <c r="D24" i="1" s="1"/>
  <c r="C29" i="2" s="1"/>
  <c r="D29" i="2" s="1"/>
  <c r="D25" i="1" s="1"/>
  <c r="D26" i="1" s="1"/>
  <c r="D29" i="1"/>
  <c r="D30" i="1" s="1"/>
  <c r="D33" i="1" s="1"/>
  <c r="C12" i="1"/>
  <c r="E12" i="1" s="1"/>
  <c r="F5" i="1"/>
  <c r="N25" i="1" s="1"/>
  <c r="L48" i="2"/>
  <c r="L38" i="2"/>
  <c r="L50" i="2" l="1"/>
  <c r="D34" i="1" s="1"/>
  <c r="C15" i="1"/>
  <c r="D19" i="1" s="1"/>
  <c r="C22" i="2" s="1"/>
  <c r="D22" i="2" s="1"/>
  <c r="D20" i="1" s="1"/>
  <c r="D21" i="1" s="1"/>
  <c r="F12" i="1"/>
  <c r="O27" i="1" s="1"/>
  <c r="L7" i="1"/>
  <c r="N9" i="1" l="1"/>
</calcChain>
</file>

<file path=xl/sharedStrings.xml><?xml version="1.0" encoding="utf-8"?>
<sst xmlns="http://schemas.openxmlformats.org/spreadsheetml/2006/main" count="158" uniqueCount="121">
  <si>
    <t>Size of column</t>
  </si>
  <si>
    <t>Dimension of footing</t>
  </si>
  <si>
    <t>Load factor</t>
  </si>
  <si>
    <t>Depth of footing</t>
  </si>
  <si>
    <t>Moment used for design</t>
  </si>
  <si>
    <r>
      <t>Diameter of column main reinforcement φ</t>
    </r>
    <r>
      <rPr>
        <vertAlign val="subscript"/>
        <sz val="12"/>
        <color theme="1"/>
        <rFont val="Times New Roman"/>
        <family val="1"/>
      </rPr>
      <t>1</t>
    </r>
    <r>
      <rPr>
        <sz val="12"/>
        <color theme="1"/>
        <rFont val="Times New Roman"/>
        <family val="1"/>
      </rPr>
      <t xml:space="preserve"> (mm)</t>
    </r>
  </si>
  <si>
    <r>
      <t>Development length (L</t>
    </r>
    <r>
      <rPr>
        <vertAlign val="subscript"/>
        <sz val="12"/>
        <color theme="1"/>
        <rFont val="Times New Roman"/>
        <family val="1"/>
      </rPr>
      <t>d</t>
    </r>
    <r>
      <rPr>
        <sz val="12"/>
        <color theme="1"/>
        <rFont val="Times New Roman"/>
        <family val="1"/>
      </rPr>
      <t>)</t>
    </r>
  </si>
  <si>
    <r>
      <t>Diameter of footing reinforcement φ</t>
    </r>
    <r>
      <rPr>
        <vertAlign val="subscript"/>
        <sz val="12"/>
        <color theme="1"/>
        <rFont val="Times New Roman"/>
        <family val="1"/>
      </rPr>
      <t>2</t>
    </r>
    <r>
      <rPr>
        <sz val="12"/>
        <color theme="1"/>
        <rFont val="Times New Roman"/>
        <family val="1"/>
      </rPr>
      <t xml:space="preserve"> (mm)</t>
    </r>
  </si>
  <si>
    <t>Clear cover for footing (mm)</t>
  </si>
  <si>
    <r>
      <t>Effective depth (d)</t>
    </r>
    <r>
      <rPr>
        <vertAlign val="subscript"/>
        <sz val="12"/>
        <color theme="1"/>
        <rFont val="Times New Roman"/>
        <family val="1"/>
      </rPr>
      <t>obtained</t>
    </r>
  </si>
  <si>
    <r>
      <t>Effective depth (d)</t>
    </r>
    <r>
      <rPr>
        <vertAlign val="subscript"/>
        <sz val="12"/>
        <color theme="1"/>
        <rFont val="Times New Roman"/>
        <family val="1"/>
      </rPr>
      <t xml:space="preserve">required </t>
    </r>
    <r>
      <rPr>
        <sz val="12"/>
        <color theme="1"/>
        <rFont val="Times New Roman"/>
        <family val="1"/>
      </rPr>
      <t>(mm)</t>
    </r>
  </si>
  <si>
    <r>
      <t>Grade of concrete (fck) (N/mm</t>
    </r>
    <r>
      <rPr>
        <vertAlign val="superscript"/>
        <sz val="12"/>
        <color theme="1"/>
        <rFont val="Times New Roman"/>
        <family val="1"/>
      </rPr>
      <t>2</t>
    </r>
    <r>
      <rPr>
        <sz val="12"/>
        <color theme="1"/>
        <rFont val="Times New Roman"/>
        <family val="1"/>
      </rPr>
      <t xml:space="preserve">) </t>
    </r>
  </si>
  <si>
    <r>
      <t>Grade of steel (fy) (N/mm</t>
    </r>
    <r>
      <rPr>
        <vertAlign val="superscript"/>
        <sz val="12"/>
        <color theme="1"/>
        <rFont val="Times New Roman"/>
        <family val="1"/>
      </rPr>
      <t>2</t>
    </r>
    <r>
      <rPr>
        <sz val="12"/>
        <color theme="1"/>
        <rFont val="Times New Roman"/>
        <family val="1"/>
      </rPr>
      <t xml:space="preserve">) </t>
    </r>
  </si>
  <si>
    <r>
      <t>Total depth (D)</t>
    </r>
    <r>
      <rPr>
        <vertAlign val="subscript"/>
        <sz val="12"/>
        <color theme="1"/>
        <rFont val="Times New Roman"/>
        <family val="1"/>
      </rPr>
      <t>provided</t>
    </r>
    <r>
      <rPr>
        <sz val="12"/>
        <color theme="1"/>
        <rFont val="Times New Roman"/>
        <family val="1"/>
      </rPr>
      <t xml:space="preserve"> (mm)</t>
    </r>
  </si>
  <si>
    <t>Steel provided</t>
  </si>
  <si>
    <t>Number of bars</t>
  </si>
  <si>
    <t>Data for Ast calculation</t>
  </si>
  <si>
    <t>Spacing (mm)</t>
  </si>
  <si>
    <r>
      <t>Steel required (mm</t>
    </r>
    <r>
      <rPr>
        <vertAlign val="superscript"/>
        <sz val="12"/>
        <color theme="1"/>
        <rFont val="Times New Roman"/>
        <family val="1"/>
      </rPr>
      <t>2</t>
    </r>
    <r>
      <rPr>
        <sz val="12"/>
        <color theme="1"/>
        <rFont val="Times New Roman"/>
        <family val="1"/>
      </rPr>
      <t>)</t>
    </r>
  </si>
  <si>
    <r>
      <t>Area of one bar (mm</t>
    </r>
    <r>
      <rPr>
        <vertAlign val="superscript"/>
        <sz val="12"/>
        <color theme="1"/>
        <rFont val="Times New Roman"/>
        <family val="1"/>
      </rPr>
      <t>2</t>
    </r>
    <r>
      <rPr>
        <sz val="12"/>
        <color theme="1"/>
        <rFont val="Times New Roman"/>
        <family val="1"/>
      </rPr>
      <t>)</t>
    </r>
  </si>
  <si>
    <r>
      <t>Steel provided (mm</t>
    </r>
    <r>
      <rPr>
        <vertAlign val="superscript"/>
        <sz val="12"/>
        <color theme="1"/>
        <rFont val="Times New Roman"/>
        <family val="1"/>
      </rPr>
      <t>2</t>
    </r>
    <r>
      <rPr>
        <sz val="12"/>
        <color theme="1"/>
        <rFont val="Times New Roman"/>
        <family val="1"/>
      </rPr>
      <t>)</t>
    </r>
  </si>
  <si>
    <t>pt%</t>
  </si>
  <si>
    <r>
      <t>Design shear strength of concrete,τ</t>
    </r>
    <r>
      <rPr>
        <b/>
        <vertAlign val="subscript"/>
        <sz val="11"/>
        <color theme="1"/>
        <rFont val="Times New Roman"/>
        <family val="1"/>
      </rPr>
      <t>c</t>
    </r>
    <r>
      <rPr>
        <b/>
        <sz val="11"/>
        <color theme="1"/>
        <rFont val="Times New Roman"/>
        <family val="1"/>
      </rPr>
      <t>, (N/mm</t>
    </r>
    <r>
      <rPr>
        <b/>
        <vertAlign val="superscript"/>
        <sz val="11"/>
        <color theme="1"/>
        <rFont val="Times New Roman"/>
        <family val="1"/>
      </rPr>
      <t>2</t>
    </r>
    <r>
      <rPr>
        <b/>
        <sz val="11"/>
        <color theme="1"/>
        <rFont val="Times New Roman"/>
        <family val="1"/>
      </rPr>
      <t>)</t>
    </r>
  </si>
  <si>
    <t>fck</t>
  </si>
  <si>
    <t>For 0.15&lt; pt% &lt;3</t>
  </si>
  <si>
    <t xml:space="preserve"> For pt% &lt;= 0.15</t>
  </si>
  <si>
    <t xml:space="preserve"> For pt% &gt;= 3</t>
  </si>
  <si>
    <r>
      <t>τ</t>
    </r>
    <r>
      <rPr>
        <vertAlign val="subscript"/>
        <sz val="12"/>
        <color theme="1"/>
        <rFont val="Times New Roman"/>
        <family val="1"/>
      </rPr>
      <t xml:space="preserve">c  </t>
    </r>
    <r>
      <rPr>
        <sz val="12"/>
        <color theme="1"/>
        <rFont val="Times New Roman"/>
        <family val="1"/>
      </rPr>
      <t>(N/mm</t>
    </r>
    <r>
      <rPr>
        <vertAlign val="superscript"/>
        <sz val="12"/>
        <color theme="1"/>
        <rFont val="Times New Roman"/>
        <family val="1"/>
      </rPr>
      <t>2</t>
    </r>
    <r>
      <rPr>
        <sz val="12"/>
        <color theme="1"/>
        <rFont val="Times New Roman"/>
        <family val="1"/>
      </rPr>
      <t>)</t>
    </r>
  </si>
  <si>
    <r>
      <t>Nominal shear stress τ</t>
    </r>
    <r>
      <rPr>
        <vertAlign val="subscript"/>
        <sz val="12"/>
        <color theme="1"/>
        <rFont val="Times New Roman"/>
        <family val="1"/>
      </rPr>
      <t>V</t>
    </r>
    <r>
      <rPr>
        <sz val="12"/>
        <color theme="1"/>
        <rFont val="Times New Roman"/>
        <family val="1"/>
      </rPr>
      <t xml:space="preserve"> (N/mm</t>
    </r>
    <r>
      <rPr>
        <vertAlign val="superscript"/>
        <sz val="12"/>
        <color theme="1"/>
        <rFont val="Times New Roman"/>
        <family val="1"/>
      </rPr>
      <t>2</t>
    </r>
    <r>
      <rPr>
        <sz val="12"/>
        <color theme="1"/>
        <rFont val="Times New Roman"/>
        <family val="1"/>
      </rPr>
      <t>)</t>
    </r>
  </si>
  <si>
    <t>One way shear</t>
  </si>
  <si>
    <t>In x direction</t>
  </si>
  <si>
    <t>Steel percent (pt%)</t>
  </si>
  <si>
    <t>In Y direction</t>
  </si>
  <si>
    <t>In X direction</t>
  </si>
  <si>
    <r>
      <t>Interpolation for X direction for τ</t>
    </r>
    <r>
      <rPr>
        <vertAlign val="subscript"/>
        <sz val="10"/>
        <color theme="1"/>
        <rFont val="Times New Roman"/>
        <family val="1"/>
      </rPr>
      <t>c</t>
    </r>
  </si>
  <si>
    <r>
      <t>τ</t>
    </r>
    <r>
      <rPr>
        <vertAlign val="subscript"/>
        <sz val="10"/>
        <color theme="1"/>
        <rFont val="Times New Roman"/>
        <family val="1"/>
      </rPr>
      <t>c</t>
    </r>
  </si>
  <si>
    <r>
      <t>Interpolation for Y direction for τ</t>
    </r>
    <r>
      <rPr>
        <vertAlign val="subscript"/>
        <sz val="10"/>
        <color theme="1"/>
        <rFont val="Times New Roman"/>
        <family val="1"/>
      </rPr>
      <t>c</t>
    </r>
  </si>
  <si>
    <r>
      <t>Grade of steel (N/mm</t>
    </r>
    <r>
      <rPr>
        <b/>
        <vertAlign val="superscript"/>
        <sz val="11"/>
        <color theme="1"/>
        <rFont val="Times New Roman"/>
        <family val="1"/>
      </rPr>
      <t>2</t>
    </r>
    <r>
      <rPr>
        <b/>
        <sz val="11"/>
        <color theme="1"/>
        <rFont val="Times New Roman"/>
        <family val="1"/>
      </rPr>
      <t>)</t>
    </r>
  </si>
  <si>
    <r>
      <t>(Depth)</t>
    </r>
    <r>
      <rPr>
        <b/>
        <vertAlign val="subscript"/>
        <sz val="11"/>
        <color theme="1"/>
        <rFont val="Times New Roman"/>
        <family val="1"/>
      </rPr>
      <t>required</t>
    </r>
    <r>
      <rPr>
        <b/>
        <sz val="11"/>
        <color theme="1"/>
        <rFont val="Times New Roman"/>
        <family val="1"/>
      </rPr>
      <t xml:space="preserve"> (mm)</t>
    </r>
  </si>
  <si>
    <r>
      <t>(fck), (N/mm</t>
    </r>
    <r>
      <rPr>
        <b/>
        <vertAlign val="superscript"/>
        <sz val="10"/>
        <color theme="1"/>
        <rFont val="Times New Roman"/>
        <family val="1"/>
      </rPr>
      <t>2</t>
    </r>
    <r>
      <rPr>
        <b/>
        <sz val="10"/>
        <color theme="1"/>
        <rFont val="Times New Roman"/>
        <family val="1"/>
      </rPr>
      <t xml:space="preserve">) </t>
    </r>
  </si>
  <si>
    <r>
      <t>Design bond stress in limit state method for plain bars in tension(τ</t>
    </r>
    <r>
      <rPr>
        <b/>
        <vertAlign val="subscript"/>
        <sz val="10"/>
        <color theme="1"/>
        <rFont val="Times New Roman"/>
        <family val="1"/>
      </rPr>
      <t>bd</t>
    </r>
    <r>
      <rPr>
        <b/>
        <sz val="10"/>
        <color theme="1"/>
        <rFont val="Times New Roman"/>
        <family val="1"/>
      </rPr>
      <t>) (N/mm</t>
    </r>
    <r>
      <rPr>
        <b/>
        <vertAlign val="superscript"/>
        <sz val="10"/>
        <color theme="1"/>
        <rFont val="Times New Roman"/>
        <family val="1"/>
      </rPr>
      <t>2</t>
    </r>
    <r>
      <rPr>
        <b/>
        <sz val="10"/>
        <color theme="1"/>
        <rFont val="Times New Roman"/>
        <family val="1"/>
      </rPr>
      <t>)</t>
    </r>
  </si>
  <si>
    <r>
      <t>(d)</t>
    </r>
    <r>
      <rPr>
        <vertAlign val="subscript"/>
        <sz val="11"/>
        <color theme="1"/>
        <rFont val="Times New Roman"/>
        <family val="1"/>
      </rPr>
      <t>provided</t>
    </r>
    <r>
      <rPr>
        <sz val="11"/>
        <color theme="1"/>
        <rFont val="Times New Roman"/>
        <family val="1"/>
      </rPr>
      <t xml:space="preserve"> (mm)</t>
    </r>
  </si>
  <si>
    <t>Two way shear</t>
  </si>
  <si>
    <t>Permissible shear (N)</t>
  </si>
  <si>
    <r>
      <t>k</t>
    </r>
    <r>
      <rPr>
        <vertAlign val="subscript"/>
        <sz val="12"/>
        <color theme="1"/>
        <rFont val="Times New Roman"/>
        <family val="1"/>
      </rPr>
      <t>s</t>
    </r>
  </si>
  <si>
    <t>Perimeter of critical section (mm)</t>
  </si>
  <si>
    <r>
      <t>Area of critical section (mm</t>
    </r>
    <r>
      <rPr>
        <vertAlign val="superscript"/>
        <sz val="12"/>
        <color theme="1"/>
        <rFont val="Times New Roman"/>
        <family val="1"/>
      </rPr>
      <t>2</t>
    </r>
    <r>
      <rPr>
        <sz val="12"/>
        <color theme="1"/>
        <rFont val="Times New Roman"/>
        <family val="1"/>
      </rPr>
      <t>)</t>
    </r>
  </si>
  <si>
    <t>Shear (KN)</t>
  </si>
  <si>
    <t>In y direction</t>
  </si>
  <si>
    <t>X direction (m)</t>
  </si>
  <si>
    <t>Y direction (m)</t>
  </si>
  <si>
    <t>Limits</t>
  </si>
  <si>
    <r>
      <t>Eccentricity in X direction e</t>
    </r>
    <r>
      <rPr>
        <vertAlign val="subscript"/>
        <sz val="12"/>
        <color theme="1"/>
        <rFont val="Times New Roman"/>
        <family val="1"/>
      </rPr>
      <t>L</t>
    </r>
    <r>
      <rPr>
        <sz val="12"/>
        <color theme="1"/>
        <rFont val="Times New Roman"/>
        <family val="1"/>
      </rPr>
      <t xml:space="preserve"> (m)</t>
    </r>
  </si>
  <si>
    <r>
      <t>Eccentricity in Y direction e</t>
    </r>
    <r>
      <rPr>
        <vertAlign val="subscript"/>
        <sz val="12"/>
        <color theme="1"/>
        <rFont val="Times New Roman"/>
        <family val="1"/>
      </rPr>
      <t>B</t>
    </r>
    <r>
      <rPr>
        <sz val="12"/>
        <color theme="1"/>
        <rFont val="Times New Roman"/>
        <family val="1"/>
      </rPr>
      <t xml:space="preserve"> (m)</t>
    </r>
  </si>
  <si>
    <t>L/6 (m)</t>
  </si>
  <si>
    <t>B/6 (m)</t>
  </si>
  <si>
    <t>Case finder</t>
  </si>
  <si>
    <r>
      <t>Concentrated load</t>
    </r>
    <r>
      <rPr>
        <vertAlign val="subscript"/>
        <sz val="11"/>
        <color theme="1"/>
        <rFont val="Calibri"/>
        <family val="2"/>
        <scheme val="minor"/>
      </rPr>
      <t>factored</t>
    </r>
    <r>
      <rPr>
        <sz val="11"/>
        <color theme="1"/>
        <rFont val="Calibri"/>
        <family val="2"/>
        <scheme val="minor"/>
      </rPr>
      <t xml:space="preserve"> (KN)</t>
    </r>
  </si>
  <si>
    <r>
      <t>Q</t>
    </r>
    <r>
      <rPr>
        <vertAlign val="subscript"/>
        <sz val="11"/>
        <color theme="1"/>
        <rFont val="Times New Roman"/>
        <family val="1"/>
      </rPr>
      <t>max</t>
    </r>
    <r>
      <rPr>
        <sz val="11"/>
        <color theme="1"/>
        <rFont val="Times New Roman"/>
        <family val="1"/>
      </rPr>
      <t xml:space="preserve"> (KN/m</t>
    </r>
    <r>
      <rPr>
        <vertAlign val="superscript"/>
        <sz val="11"/>
        <color theme="1"/>
        <rFont val="Times New Roman"/>
        <family val="1"/>
      </rPr>
      <t>2</t>
    </r>
    <r>
      <rPr>
        <sz val="11"/>
        <color theme="1"/>
        <rFont val="Times New Roman"/>
        <family val="1"/>
      </rPr>
      <t>)</t>
    </r>
  </si>
  <si>
    <r>
      <t>Q</t>
    </r>
    <r>
      <rPr>
        <vertAlign val="subscript"/>
        <sz val="11"/>
        <color theme="1"/>
        <rFont val="Times New Roman"/>
        <family val="1"/>
      </rPr>
      <t>1</t>
    </r>
    <r>
      <rPr>
        <sz val="11"/>
        <color theme="1"/>
        <rFont val="Times New Roman"/>
        <family val="1"/>
      </rPr>
      <t xml:space="preserve"> (KN/m</t>
    </r>
    <r>
      <rPr>
        <vertAlign val="superscript"/>
        <sz val="11"/>
        <color theme="1"/>
        <rFont val="Times New Roman"/>
        <family val="1"/>
      </rPr>
      <t>2</t>
    </r>
    <r>
      <rPr>
        <sz val="11"/>
        <color theme="1"/>
        <rFont val="Times New Roman"/>
        <family val="1"/>
      </rPr>
      <t>)</t>
    </r>
  </si>
  <si>
    <r>
      <t>Q</t>
    </r>
    <r>
      <rPr>
        <vertAlign val="subscript"/>
        <sz val="11"/>
        <color theme="1"/>
        <rFont val="Times New Roman"/>
        <family val="1"/>
      </rPr>
      <t>2</t>
    </r>
    <r>
      <rPr>
        <sz val="11"/>
        <color theme="1"/>
        <rFont val="Times New Roman"/>
        <family val="1"/>
      </rPr>
      <t xml:space="preserve"> (KN/m</t>
    </r>
    <r>
      <rPr>
        <vertAlign val="superscript"/>
        <sz val="11"/>
        <color theme="1"/>
        <rFont val="Times New Roman"/>
        <family val="1"/>
      </rPr>
      <t>2</t>
    </r>
    <r>
      <rPr>
        <sz val="11"/>
        <color theme="1"/>
        <rFont val="Times New Roman"/>
        <family val="1"/>
      </rPr>
      <t>)</t>
    </r>
  </si>
  <si>
    <r>
      <t>Q</t>
    </r>
    <r>
      <rPr>
        <vertAlign val="subscript"/>
        <sz val="11"/>
        <color theme="1"/>
        <rFont val="Times New Roman"/>
        <family val="1"/>
      </rPr>
      <t>3</t>
    </r>
    <r>
      <rPr>
        <sz val="11"/>
        <color theme="1"/>
        <rFont val="Times New Roman"/>
        <family val="1"/>
      </rPr>
      <t xml:space="preserve"> (KN/m</t>
    </r>
    <r>
      <rPr>
        <vertAlign val="superscript"/>
        <sz val="11"/>
        <color theme="1"/>
        <rFont val="Times New Roman"/>
        <family val="1"/>
      </rPr>
      <t>2</t>
    </r>
    <r>
      <rPr>
        <sz val="11"/>
        <color theme="1"/>
        <rFont val="Times New Roman"/>
        <family val="1"/>
      </rPr>
      <t>)</t>
    </r>
  </si>
  <si>
    <r>
      <t>e</t>
    </r>
    <r>
      <rPr>
        <vertAlign val="subscript"/>
        <sz val="10"/>
        <color theme="1"/>
        <rFont val="Times New Roman"/>
        <family val="1"/>
      </rPr>
      <t xml:space="preserve">L </t>
    </r>
    <r>
      <rPr>
        <sz val="10"/>
        <color theme="1"/>
        <rFont val="Times New Roman"/>
        <family val="1"/>
      </rPr>
      <t>(m)</t>
    </r>
  </si>
  <si>
    <r>
      <t>e</t>
    </r>
    <r>
      <rPr>
        <vertAlign val="subscript"/>
        <sz val="10"/>
        <color theme="1"/>
        <rFont val="Times New Roman"/>
        <family val="1"/>
      </rPr>
      <t>B</t>
    </r>
    <r>
      <rPr>
        <sz val="10"/>
        <color theme="1"/>
        <rFont val="Times New Roman"/>
        <family val="1"/>
      </rPr>
      <t xml:space="preserve"> (m)</t>
    </r>
  </si>
  <si>
    <t>q3</t>
  </si>
  <si>
    <t>q4</t>
  </si>
  <si>
    <t>q5</t>
  </si>
  <si>
    <t>qavg</t>
  </si>
  <si>
    <t>Value of projection (L') (m)</t>
  </si>
  <si>
    <t>Value of length (L) (m)</t>
  </si>
  <si>
    <t>Value of projection (B') (m)</t>
  </si>
  <si>
    <t>Value of width (B) (m)</t>
  </si>
  <si>
    <t>For one way shear</t>
  </si>
  <si>
    <t xml:space="preserve">For moment </t>
  </si>
  <si>
    <t>For two way shear</t>
  </si>
  <si>
    <t xml:space="preserve">q3 </t>
  </si>
  <si>
    <t xml:space="preserve">q4 </t>
  </si>
  <si>
    <t xml:space="preserve">q1 </t>
  </si>
  <si>
    <t xml:space="preserve">q2 </t>
  </si>
  <si>
    <r>
      <t xml:space="preserve"> Pressure intensity at critical sections (KN/m</t>
    </r>
    <r>
      <rPr>
        <b/>
        <vertAlign val="superscript"/>
        <sz val="11"/>
        <color theme="1"/>
        <rFont val="Times New Roman"/>
        <family val="1"/>
      </rPr>
      <t>2</t>
    </r>
    <r>
      <rPr>
        <b/>
        <sz val="11"/>
        <color theme="1"/>
        <rFont val="Times New Roman"/>
        <family val="1"/>
      </rPr>
      <t>)</t>
    </r>
  </si>
  <si>
    <t>q1'</t>
  </si>
  <si>
    <t>q2'</t>
  </si>
  <si>
    <t>q3'</t>
  </si>
  <si>
    <t>q4'</t>
  </si>
  <si>
    <t>q6</t>
  </si>
  <si>
    <t>q5'</t>
  </si>
  <si>
    <t>q6'</t>
  </si>
  <si>
    <t>q7</t>
  </si>
  <si>
    <t>q8</t>
  </si>
  <si>
    <t>q7'</t>
  </si>
  <si>
    <t>q8'</t>
  </si>
  <si>
    <r>
      <t>q</t>
    </r>
    <r>
      <rPr>
        <vertAlign val="subscript"/>
        <sz val="11"/>
        <color theme="1"/>
        <rFont val="Times New Roman"/>
        <family val="1"/>
      </rPr>
      <t>avg</t>
    </r>
  </si>
  <si>
    <r>
      <t>q</t>
    </r>
    <r>
      <rPr>
        <vertAlign val="subscript"/>
        <sz val="11"/>
        <color theme="1"/>
        <rFont val="Times New Roman"/>
        <family val="1"/>
      </rPr>
      <t>avg</t>
    </r>
    <r>
      <rPr>
        <sz val="11"/>
        <color theme="1"/>
        <rFont val="Times New Roman"/>
        <family val="1"/>
      </rPr>
      <t xml:space="preserve"> </t>
    </r>
  </si>
  <si>
    <t>Uniaxial</t>
  </si>
  <si>
    <t>SECTION ELEVATION</t>
  </si>
  <si>
    <t>PLAN</t>
  </si>
  <si>
    <t xml:space="preserve">Reinforcement Detailing </t>
  </si>
  <si>
    <t>Bending type</t>
  </si>
  <si>
    <t>width for mx(m)</t>
  </si>
  <si>
    <t>width for my(m)</t>
  </si>
  <si>
    <t>Width for Mx (mm)</t>
  </si>
  <si>
    <t>Width for My(mm)</t>
  </si>
  <si>
    <t>longitudinal</t>
  </si>
  <si>
    <r>
      <t>lift off area(m</t>
    </r>
    <r>
      <rPr>
        <vertAlign val="superscript"/>
        <sz val="12"/>
        <color theme="1"/>
        <rFont val="Times New Roman"/>
        <family val="1"/>
      </rPr>
      <t>2</t>
    </r>
    <r>
      <rPr>
        <sz val="12"/>
        <color theme="1"/>
        <rFont val="Times New Roman"/>
        <family val="1"/>
      </rPr>
      <t>)</t>
    </r>
  </si>
  <si>
    <t>Provided area(m2)</t>
  </si>
  <si>
    <t xml:space="preserve">qavg1 </t>
  </si>
  <si>
    <t>qavg2</t>
  </si>
  <si>
    <r>
      <t>τ</t>
    </r>
    <r>
      <rPr>
        <vertAlign val="subscript"/>
        <sz val="12"/>
        <color theme="1"/>
        <rFont val="Times New Roman"/>
        <family val="1"/>
      </rPr>
      <t>c</t>
    </r>
  </si>
  <si>
    <t>Mnimum area of steel</t>
  </si>
  <si>
    <t>Transverse</t>
  </si>
  <si>
    <t xml:space="preserve"> UNIAXIAL SPREAD FOUNDATION</t>
  </si>
  <si>
    <t>maximum pressure(kN/m^2)</t>
  </si>
  <si>
    <t>Area of footing required (mm^2)</t>
  </si>
  <si>
    <t>Moment about X axis (Mx') (kNm)</t>
  </si>
  <si>
    <r>
      <t>(Pz)</t>
    </r>
    <r>
      <rPr>
        <vertAlign val="subscript"/>
        <sz val="12"/>
        <color theme="1"/>
        <rFont val="Times New Roman"/>
        <family val="1"/>
      </rPr>
      <t xml:space="preserve">working </t>
    </r>
    <r>
      <rPr>
        <sz val="12"/>
        <color theme="1"/>
        <rFont val="Times New Roman"/>
        <family val="1"/>
      </rPr>
      <t>(kN)</t>
    </r>
  </si>
  <si>
    <t>Moment about Y axis (My') (kNm)</t>
  </si>
  <si>
    <r>
      <t>SBC (kN/m</t>
    </r>
    <r>
      <rPr>
        <vertAlign val="superscript"/>
        <sz val="12"/>
        <color theme="1"/>
        <rFont val="Times New Roman"/>
        <family val="1"/>
      </rPr>
      <t xml:space="preserve">2 </t>
    </r>
    <r>
      <rPr>
        <sz val="12"/>
        <color theme="1"/>
        <rFont val="Times New Roman"/>
        <family val="1"/>
      </rPr>
      <t>)</t>
    </r>
  </si>
  <si>
    <t>Moment about x axis (Mx) (kNm)</t>
  </si>
  <si>
    <t>Moment about y axis (My) (kNm)</t>
  </si>
  <si>
    <t>Moment in Mx per unit length (kNm)</t>
  </si>
  <si>
    <t>Moment in  My per unit length(kNm)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</si>
</sst>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2"/>
      <color theme="1"/>
      <name val="Times New Roman"/>
      <family val="1"/>
    </font>
    <font>
      <vertAlign val="subscript"/>
      <sz val="12"/>
      <color theme="1"/>
      <name val="Times New Roman"/>
      <family val="1"/>
    </font>
    <font>
      <vertAlign val="superscript"/>
      <sz val="12"/>
      <color theme="1"/>
      <name val="Times New Roman"/>
      <family val="1"/>
    </font>
    <font>
      <b/>
      <sz val="14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rgb="FF3F3F3F"/>
      <name val="Times New Roman"/>
      <family val="1"/>
    </font>
    <font>
      <vertAlign val="superscript"/>
      <sz val="11"/>
      <color theme="1"/>
      <name val="Times New Roman"/>
      <family val="1"/>
    </font>
    <font>
      <vertAlign val="subscript"/>
      <sz val="11"/>
      <color theme="1"/>
      <name val="Times New Roman"/>
      <family val="1"/>
    </font>
    <font>
      <b/>
      <sz val="12"/>
      <color rgb="FF3F3F3F"/>
      <name val="Times New Roman"/>
      <family val="1"/>
    </font>
    <font>
      <sz val="10"/>
      <color theme="1"/>
      <name val="Times New Roman"/>
      <family val="1"/>
    </font>
    <font>
      <vertAlign val="subscript"/>
      <sz val="10"/>
      <color theme="1"/>
      <name val="Times New Roman"/>
      <family val="1"/>
    </font>
    <font>
      <b/>
      <sz val="10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jmes"/>
    </font>
    <font>
      <b/>
      <sz val="11"/>
      <color theme="1"/>
      <name val="Times New Roman"/>
      <family val="1"/>
    </font>
    <font>
      <b/>
      <vertAlign val="subscript"/>
      <sz val="11"/>
      <color theme="1"/>
      <name val="Times New Roman"/>
      <family val="1"/>
    </font>
    <font>
      <b/>
      <vertAlign val="superscript"/>
      <sz val="11"/>
      <color theme="1"/>
      <name val="Times New Roman"/>
      <family val="1"/>
    </font>
    <font>
      <sz val="10"/>
      <color theme="1"/>
      <name val="Calibri"/>
      <family val="2"/>
      <scheme val="minor"/>
    </font>
    <font>
      <sz val="10"/>
      <color rgb="FF3F3F76"/>
      <name val="Times New Roman"/>
      <family val="1"/>
    </font>
    <font>
      <b/>
      <sz val="10"/>
      <color rgb="FFFA7D00"/>
      <name val="Times New Roman"/>
      <family val="1"/>
    </font>
    <font>
      <b/>
      <sz val="10"/>
      <color rgb="FF3F3F3F"/>
      <name val="Times New Roman"/>
      <family val="1"/>
    </font>
    <font>
      <b/>
      <vertAlign val="superscript"/>
      <sz val="10"/>
      <color theme="1"/>
      <name val="Times New Roman"/>
      <family val="1"/>
    </font>
    <font>
      <b/>
      <vertAlign val="subscript"/>
      <sz val="10"/>
      <color theme="1"/>
      <name val="Times New Roman"/>
      <family val="1"/>
    </font>
    <font>
      <b/>
      <u/>
      <sz val="14"/>
      <color theme="1"/>
      <name val="Times New Roman"/>
      <family val="1"/>
    </font>
    <font>
      <b/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/>
      <bottom/>
      <diagonal/>
    </border>
    <border>
      <left style="thin">
        <color rgb="FF3F3F3F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3" fillId="2" borderId="1" applyNumberFormat="0" applyAlignment="0" applyProtection="0"/>
    <xf numFmtId="0" fontId="4" fillId="3" borderId="2" applyNumberFormat="0" applyAlignment="0" applyProtection="0"/>
    <xf numFmtId="0" fontId="5" fillId="3" borderId="1" applyNumberFormat="0" applyAlignment="0" applyProtection="0"/>
    <xf numFmtId="0" fontId="2" fillId="4" borderId="3" applyNumberFormat="0" applyFont="0" applyAlignment="0" applyProtection="0"/>
  </cellStyleXfs>
  <cellXfs count="55">
    <xf numFmtId="0" fontId="0" fillId="0" borderId="0" xfId="0"/>
    <xf numFmtId="0" fontId="6" fillId="0" borderId="0" xfId="0" applyFont="1"/>
    <xf numFmtId="0" fontId="9" fillId="0" borderId="0" xfId="0" applyFont="1"/>
    <xf numFmtId="0" fontId="10" fillId="0" borderId="0" xfId="0" applyFont="1"/>
    <xf numFmtId="0" fontId="6" fillId="0" borderId="0" xfId="0" applyFont="1" applyFill="1" applyBorder="1"/>
    <xf numFmtId="0" fontId="10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15" fillId="0" borderId="0" xfId="0" applyFont="1"/>
    <xf numFmtId="0" fontId="19" fillId="0" borderId="0" xfId="0" applyFont="1"/>
    <xf numFmtId="0" fontId="18" fillId="0" borderId="0" xfId="0" applyFont="1"/>
    <xf numFmtId="0" fontId="11" fillId="3" borderId="2" xfId="2" applyFont="1" applyAlignment="1">
      <alignment horizontal="center"/>
    </xf>
    <xf numFmtId="0" fontId="20" fillId="0" borderId="0" xfId="0" applyFont="1" applyAlignment="1">
      <alignment horizontal="center"/>
    </xf>
    <xf numFmtId="0" fontId="15" fillId="4" borderId="3" xfId="4" applyFont="1"/>
    <xf numFmtId="0" fontId="23" fillId="0" borderId="0" xfId="0" applyFont="1"/>
    <xf numFmtId="0" fontId="24" fillId="2" borderId="1" xfId="1" applyFont="1" applyAlignment="1">
      <alignment horizontal="center"/>
    </xf>
    <xf numFmtId="0" fontId="25" fillId="3" borderId="1" xfId="3" applyFont="1" applyAlignment="1">
      <alignment horizontal="center"/>
    </xf>
    <xf numFmtId="0" fontId="26" fillId="3" borderId="2" xfId="2" applyFont="1"/>
    <xf numFmtId="0" fontId="25" fillId="3" borderId="1" xfId="3" applyNumberFormat="1" applyFont="1" applyAlignment="1">
      <alignment horizontal="center"/>
    </xf>
    <xf numFmtId="0" fontId="26" fillId="3" borderId="2" xfId="2" applyFont="1" applyAlignment="1">
      <alignment horizontal="center"/>
    </xf>
    <xf numFmtId="0" fontId="17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/>
    <xf numFmtId="0" fontId="10" fillId="0" borderId="0" xfId="0" applyFont="1" applyBorder="1" applyAlignment="1">
      <alignment horizontal="center"/>
    </xf>
    <xf numFmtId="0" fontId="29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29" fillId="0" borderId="0" xfId="0" applyFont="1"/>
    <xf numFmtId="0" fontId="6" fillId="6" borderId="0" xfId="0" applyFont="1" applyFill="1" applyAlignment="1">
      <alignment horizontal="center"/>
    </xf>
    <xf numFmtId="0" fontId="11" fillId="6" borderId="2" xfId="2" applyFont="1" applyFill="1"/>
    <xf numFmtId="0" fontId="14" fillId="6" borderId="2" xfId="2" applyFont="1" applyFill="1"/>
    <xf numFmtId="0" fontId="10" fillId="0" borderId="0" xfId="0" applyFont="1" applyFill="1" applyAlignment="1">
      <alignment horizontal="center"/>
    </xf>
    <xf numFmtId="0" fontId="30" fillId="0" borderId="0" xfId="0" applyFont="1"/>
    <xf numFmtId="0" fontId="6" fillId="0" borderId="0" xfId="0" applyFont="1" applyAlignment="1">
      <alignment horizontal="center"/>
    </xf>
    <xf numFmtId="0" fontId="6" fillId="5" borderId="0" xfId="0" applyFont="1" applyFill="1" applyAlignment="1">
      <alignment horizontal="center"/>
    </xf>
    <xf numFmtId="0" fontId="30" fillId="0" borderId="0" xfId="0" applyFont="1" applyAlignment="1"/>
    <xf numFmtId="0" fontId="10" fillId="5" borderId="6" xfId="0" applyFont="1" applyFill="1" applyBorder="1" applyAlignment="1">
      <alignment horizontal="center"/>
    </xf>
    <xf numFmtId="0" fontId="0" fillId="6" borderId="0" xfId="0" applyFill="1" applyAlignment="1">
      <alignment horizontal="center"/>
    </xf>
    <xf numFmtId="0" fontId="31" fillId="0" borderId="0" xfId="0" applyFont="1"/>
    <xf numFmtId="0" fontId="6" fillId="7" borderId="0" xfId="0" applyFont="1" applyFill="1" applyAlignment="1">
      <alignment horizontal="center"/>
    </xf>
    <xf numFmtId="0" fontId="18" fillId="0" borderId="0" xfId="0" applyFont="1" applyAlignment="1">
      <alignment horizontal="center" vertical="center" textRotation="90"/>
    </xf>
    <xf numFmtId="0" fontId="18" fillId="0" borderId="0" xfId="0" applyFont="1" applyAlignment="1">
      <alignment horizontal="center" textRotation="90"/>
    </xf>
    <xf numFmtId="0" fontId="18" fillId="0" borderId="0" xfId="0" applyFont="1" applyAlignment="1">
      <alignment horizontal="center" wrapText="1"/>
    </xf>
    <xf numFmtId="0" fontId="9" fillId="0" borderId="0" xfId="0" applyFont="1" applyAlignment="1">
      <alignment horizontal="left"/>
    </xf>
    <xf numFmtId="0" fontId="18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10" fillId="0" borderId="0" xfId="0" applyFont="1" applyFill="1" applyAlignment="1">
      <alignment horizontal="center"/>
    </xf>
    <xf numFmtId="0" fontId="17" fillId="0" borderId="0" xfId="0" applyFont="1" applyAlignment="1">
      <alignment horizontal="center"/>
    </xf>
    <xf numFmtId="0" fontId="11" fillId="3" borderId="5" xfId="2" applyFont="1" applyBorder="1" applyAlignment="1">
      <alignment horizontal="center"/>
    </xf>
    <xf numFmtId="0" fontId="11" fillId="3" borderId="0" xfId="2" applyFont="1" applyBorder="1" applyAlignment="1">
      <alignment horizontal="center"/>
    </xf>
    <xf numFmtId="0" fontId="20" fillId="0" borderId="0" xfId="0" applyFont="1" applyFill="1" applyAlignment="1">
      <alignment horizontal="center"/>
    </xf>
    <xf numFmtId="0" fontId="20" fillId="0" borderId="4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15" fillId="4" borderId="4" xfId="4" applyFont="1" applyBorder="1" applyAlignment="1">
      <alignment horizontal="center"/>
    </xf>
    <xf numFmtId="0" fontId="15" fillId="4" borderId="0" xfId="4" applyFont="1" applyBorder="1" applyAlignment="1">
      <alignment horizontal="center"/>
    </xf>
    <xf numFmtId="0" fontId="15" fillId="4" borderId="3" xfId="4" applyFont="1" applyAlignment="1">
      <alignment horizontal="center"/>
    </xf>
  </cellXfs>
  <cellStyles count="5">
    <cellStyle name="Calculation" xfId="3" builtinId="22"/>
    <cellStyle name="Input" xfId="1" builtinId="20"/>
    <cellStyle name="Normal" xfId="0" builtinId="0"/>
    <cellStyle name="Note" xfId="4" builtinId="10"/>
    <cellStyle name="Output" xfId="2" builtinId="2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258286</xdr:colOff>
      <xdr:row>32</xdr:row>
      <xdr:rowOff>81121</xdr:rowOff>
    </xdr:from>
    <xdr:to>
      <xdr:col>12</xdr:col>
      <xdr:colOff>410686</xdr:colOff>
      <xdr:row>32</xdr:row>
      <xdr:rowOff>82709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CxnSpPr/>
      </xdr:nvCxnSpPr>
      <xdr:spPr>
        <a:xfrm rot="10800000">
          <a:off x="12640786" y="6984841"/>
          <a:ext cx="2590800" cy="1588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202407</xdr:colOff>
      <xdr:row>26</xdr:row>
      <xdr:rowOff>130887</xdr:rowOff>
    </xdr:from>
    <xdr:to>
      <xdr:col>12</xdr:col>
      <xdr:colOff>481807</xdr:colOff>
      <xdr:row>37</xdr:row>
      <xdr:rowOff>164941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SpPr/>
      </xdr:nvSpPr>
      <xdr:spPr>
        <a:xfrm>
          <a:off x="13476447" y="5723967"/>
          <a:ext cx="2717800" cy="236577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8</xdr:col>
      <xdr:colOff>199231</xdr:colOff>
      <xdr:row>38</xdr:row>
      <xdr:rowOff>98266</xdr:rowOff>
    </xdr:from>
    <xdr:to>
      <xdr:col>12</xdr:col>
      <xdr:colOff>484981</xdr:colOff>
      <xdr:row>38</xdr:row>
      <xdr:rowOff>99854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xmlns="" id="{00000000-0008-0000-0000-00000D000000}"/>
            </a:ext>
          </a:extLst>
        </xdr:cNvPr>
        <xdr:cNvCxnSpPr/>
      </xdr:nvCxnSpPr>
      <xdr:spPr>
        <a:xfrm>
          <a:off x="13473271" y="8251666"/>
          <a:ext cx="2724150" cy="1588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1484312</xdr:colOff>
      <xdr:row>26</xdr:row>
      <xdr:rowOff>139065</xdr:rowOff>
    </xdr:from>
    <xdr:to>
      <xdr:col>7</xdr:col>
      <xdr:colOff>1485900</xdr:colOff>
      <xdr:row>37</xdr:row>
      <xdr:rowOff>158115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CxnSpPr/>
      </xdr:nvCxnSpPr>
      <xdr:spPr>
        <a:xfrm rot="5400000">
          <a:off x="12082621" y="6906736"/>
          <a:ext cx="2350770" cy="1588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219637</xdr:colOff>
      <xdr:row>14</xdr:row>
      <xdr:rowOff>180816</xdr:rowOff>
    </xdr:from>
    <xdr:to>
      <xdr:col>12</xdr:col>
      <xdr:colOff>471646</xdr:colOff>
      <xdr:row>14</xdr:row>
      <xdr:rowOff>182086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CxnSpPr/>
      </xdr:nvCxnSpPr>
      <xdr:spPr>
        <a:xfrm>
          <a:off x="13493677" y="3137376"/>
          <a:ext cx="2690409" cy="127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219637</xdr:colOff>
      <xdr:row>12</xdr:row>
      <xdr:rowOff>0</xdr:rowOff>
    </xdr:from>
    <xdr:to>
      <xdr:col>9</xdr:col>
      <xdr:colOff>608806</xdr:colOff>
      <xdr:row>12</xdr:row>
      <xdr:rowOff>2427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xmlns="" id="{00000000-0008-0000-0000-000010000000}"/>
            </a:ext>
          </a:extLst>
        </xdr:cNvPr>
        <xdr:cNvCxnSpPr/>
      </xdr:nvCxnSpPr>
      <xdr:spPr>
        <a:xfrm>
          <a:off x="13493677" y="2484120"/>
          <a:ext cx="998769" cy="242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69962</xdr:colOff>
      <xdr:row>12</xdr:row>
      <xdr:rowOff>6282</xdr:rowOff>
    </xdr:from>
    <xdr:to>
      <xdr:col>12</xdr:col>
      <xdr:colOff>467291</xdr:colOff>
      <xdr:row>12</xdr:row>
      <xdr:rowOff>7870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xmlns="" id="{00000000-0008-0000-0000-000011000000}"/>
            </a:ext>
          </a:extLst>
        </xdr:cNvPr>
        <xdr:cNvCxnSpPr/>
      </xdr:nvCxnSpPr>
      <xdr:spPr>
        <a:xfrm>
          <a:off x="15172802" y="2490402"/>
          <a:ext cx="1006929" cy="15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608012</xdr:colOff>
      <xdr:row>9</xdr:row>
      <xdr:rowOff>15240</xdr:rowOff>
    </xdr:from>
    <xdr:to>
      <xdr:col>10</xdr:col>
      <xdr:colOff>0</xdr:colOff>
      <xdr:row>12</xdr:row>
      <xdr:rowOff>0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CxnSpPr/>
      </xdr:nvCxnSpPr>
      <xdr:spPr>
        <a:xfrm rot="5400000" flipH="1" flipV="1">
          <a:off x="14168596" y="2159476"/>
          <a:ext cx="647700" cy="15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66992</xdr:colOff>
      <xdr:row>9</xdr:row>
      <xdr:rowOff>19050</xdr:rowOff>
    </xdr:from>
    <xdr:to>
      <xdr:col>11</xdr:col>
      <xdr:colOff>68580</xdr:colOff>
      <xdr:row>12</xdr:row>
      <xdr:rowOff>3810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xmlns="" id="{00000000-0008-0000-0000-000013000000}"/>
            </a:ext>
          </a:extLst>
        </xdr:cNvPr>
        <xdr:cNvCxnSpPr/>
      </xdr:nvCxnSpPr>
      <xdr:spPr>
        <a:xfrm rot="5400000" flipH="1" flipV="1">
          <a:off x="14846776" y="2163286"/>
          <a:ext cx="647700" cy="15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471646</xdr:colOff>
      <xdr:row>9</xdr:row>
      <xdr:rowOff>10636</xdr:rowOff>
    </xdr:from>
    <xdr:to>
      <xdr:col>10</xdr:col>
      <xdr:colOff>186046</xdr:colOff>
      <xdr:row>9</xdr:row>
      <xdr:rowOff>12224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xmlns="" id="{00000000-0008-0000-0000-000014000000}"/>
            </a:ext>
          </a:extLst>
        </xdr:cNvPr>
        <xdr:cNvCxnSpPr/>
      </xdr:nvCxnSpPr>
      <xdr:spPr>
        <a:xfrm>
          <a:off x="14355286" y="1831816"/>
          <a:ext cx="324000" cy="15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483076</xdr:colOff>
      <xdr:row>9</xdr:row>
      <xdr:rowOff>14446</xdr:rowOff>
    </xdr:from>
    <xdr:to>
      <xdr:col>11</xdr:col>
      <xdr:colOff>197476</xdr:colOff>
      <xdr:row>9</xdr:row>
      <xdr:rowOff>16034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xmlns="" id="{00000000-0008-0000-0000-000015000000}"/>
            </a:ext>
          </a:extLst>
        </xdr:cNvPr>
        <xdr:cNvCxnSpPr/>
      </xdr:nvCxnSpPr>
      <xdr:spPr>
        <a:xfrm>
          <a:off x="14976316" y="1835626"/>
          <a:ext cx="324000" cy="15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182086</xdr:colOff>
      <xdr:row>9</xdr:row>
      <xdr:rowOff>14446</xdr:rowOff>
    </xdr:from>
    <xdr:to>
      <xdr:col>10</xdr:col>
      <xdr:colOff>311626</xdr:colOff>
      <xdr:row>9</xdr:row>
      <xdr:rowOff>143986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xmlns="" id="{00000000-0008-0000-0000-000016000000}"/>
            </a:ext>
          </a:extLst>
        </xdr:cNvPr>
        <xdr:cNvCxnSpPr/>
      </xdr:nvCxnSpPr>
      <xdr:spPr>
        <a:xfrm rot="16200000" flipH="1">
          <a:off x="14675326" y="1835626"/>
          <a:ext cx="129540" cy="12954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353536</xdr:colOff>
      <xdr:row>8</xdr:row>
      <xdr:rowOff>100171</xdr:rowOff>
    </xdr:from>
    <xdr:to>
      <xdr:col>10</xdr:col>
      <xdr:colOff>483076</xdr:colOff>
      <xdr:row>9</xdr:row>
      <xdr:rowOff>10636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xmlns="" id="{00000000-0008-0000-0000-000017000000}"/>
            </a:ext>
          </a:extLst>
        </xdr:cNvPr>
        <xdr:cNvCxnSpPr/>
      </xdr:nvCxnSpPr>
      <xdr:spPr>
        <a:xfrm rot="16200000" flipH="1">
          <a:off x="14845823" y="1701324"/>
          <a:ext cx="131445" cy="12954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311626</xdr:colOff>
      <xdr:row>8</xdr:row>
      <xdr:rowOff>107791</xdr:rowOff>
    </xdr:from>
    <xdr:to>
      <xdr:col>10</xdr:col>
      <xdr:colOff>357346</xdr:colOff>
      <xdr:row>9</xdr:row>
      <xdr:rowOff>143986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xmlns="" id="{00000000-0008-0000-0000-000018000000}"/>
            </a:ext>
          </a:extLst>
        </xdr:cNvPr>
        <xdr:cNvCxnSpPr/>
      </xdr:nvCxnSpPr>
      <xdr:spPr>
        <a:xfrm rot="5400000">
          <a:off x="14699138" y="1813719"/>
          <a:ext cx="257175" cy="4572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216921</xdr:colOff>
      <xdr:row>15</xdr:row>
      <xdr:rowOff>119221</xdr:rowOff>
    </xdr:from>
    <xdr:to>
      <xdr:col>12</xdr:col>
      <xdr:colOff>464074</xdr:colOff>
      <xdr:row>15</xdr:row>
      <xdr:rowOff>120809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xmlns="" id="{00000000-0008-0000-0000-000019000000}"/>
            </a:ext>
          </a:extLst>
        </xdr:cNvPr>
        <xdr:cNvCxnSpPr/>
      </xdr:nvCxnSpPr>
      <xdr:spPr>
        <a:xfrm>
          <a:off x="13490961" y="3273901"/>
          <a:ext cx="2685553" cy="1588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1499552</xdr:colOff>
      <xdr:row>12</xdr:row>
      <xdr:rowOff>794</xdr:rowOff>
    </xdr:from>
    <xdr:to>
      <xdr:col>8</xdr:col>
      <xdr:colOff>0</xdr:colOff>
      <xdr:row>14</xdr:row>
      <xdr:rowOff>182336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xmlns="" id="{00000000-0008-0000-0000-00001A000000}"/>
            </a:ext>
          </a:extLst>
        </xdr:cNvPr>
        <xdr:cNvCxnSpPr/>
      </xdr:nvCxnSpPr>
      <xdr:spPr>
        <a:xfrm rot="5400000">
          <a:off x="12946255" y="2811111"/>
          <a:ext cx="653982" cy="1588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258286</xdr:colOff>
      <xdr:row>14</xdr:row>
      <xdr:rowOff>102076</xdr:rowOff>
    </xdr:from>
    <xdr:to>
      <xdr:col>12</xdr:col>
      <xdr:colOff>410686</xdr:colOff>
      <xdr:row>14</xdr:row>
      <xdr:rowOff>103664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xmlns="" id="{00000000-0008-0000-0000-00001B000000}"/>
            </a:ext>
          </a:extLst>
        </xdr:cNvPr>
        <xdr:cNvCxnSpPr/>
      </xdr:nvCxnSpPr>
      <xdr:spPr>
        <a:xfrm>
          <a:off x="13532326" y="3058636"/>
          <a:ext cx="2590800" cy="15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608806</xdr:colOff>
      <xdr:row>14</xdr:row>
      <xdr:rowOff>18256</xdr:rowOff>
    </xdr:from>
    <xdr:to>
      <xdr:col>11</xdr:col>
      <xdr:colOff>44925</xdr:colOff>
      <xdr:row>14</xdr:row>
      <xdr:rowOff>90256</xdr:rowOff>
    </xdr:to>
    <xdr:sp macro="" textlink="">
      <xdr:nvSpPr>
        <xdr:cNvPr id="28" name="Oval 27">
          <a:extLst>
            <a:ext uri="{FF2B5EF4-FFF2-40B4-BE49-F238E27FC236}">
              <a16:creationId xmlns:a16="http://schemas.microsoft.com/office/drawing/2014/main" xmlns="" id="{00000000-0008-0000-0000-00001C000000}"/>
            </a:ext>
          </a:extLst>
        </xdr:cNvPr>
        <xdr:cNvSpPr/>
      </xdr:nvSpPr>
      <xdr:spPr>
        <a:xfrm>
          <a:off x="15102046" y="2974816"/>
          <a:ext cx="45719" cy="72000"/>
        </a:xfrm>
        <a:prstGeom prst="ellips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11</xdr:col>
      <xdr:colOff>608806</xdr:colOff>
      <xdr:row>14</xdr:row>
      <xdr:rowOff>18256</xdr:rowOff>
    </xdr:from>
    <xdr:to>
      <xdr:col>12</xdr:col>
      <xdr:colOff>44925</xdr:colOff>
      <xdr:row>14</xdr:row>
      <xdr:rowOff>90256</xdr:rowOff>
    </xdr:to>
    <xdr:sp macro="" textlink="">
      <xdr:nvSpPr>
        <xdr:cNvPr id="29" name="Oval 28">
          <a:extLst>
            <a:ext uri="{FF2B5EF4-FFF2-40B4-BE49-F238E27FC236}">
              <a16:creationId xmlns:a16="http://schemas.microsoft.com/office/drawing/2014/main" xmlns="" id="{00000000-0008-0000-0000-00001D000000}"/>
            </a:ext>
          </a:extLst>
        </xdr:cNvPr>
        <xdr:cNvSpPr/>
      </xdr:nvSpPr>
      <xdr:spPr>
        <a:xfrm>
          <a:off x="15711646" y="2974816"/>
          <a:ext cx="45719" cy="72000"/>
        </a:xfrm>
        <a:prstGeom prst="ellips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608806</xdr:colOff>
      <xdr:row>14</xdr:row>
      <xdr:rowOff>18256</xdr:rowOff>
    </xdr:from>
    <xdr:to>
      <xdr:col>10</xdr:col>
      <xdr:colOff>44925</xdr:colOff>
      <xdr:row>14</xdr:row>
      <xdr:rowOff>90256</xdr:rowOff>
    </xdr:to>
    <xdr:sp macro="" textlink="">
      <xdr:nvSpPr>
        <xdr:cNvPr id="30" name="Oval 29">
          <a:extLst>
            <a:ext uri="{FF2B5EF4-FFF2-40B4-BE49-F238E27FC236}">
              <a16:creationId xmlns:a16="http://schemas.microsoft.com/office/drawing/2014/main" xmlns="" id="{00000000-0008-0000-0000-00001E000000}"/>
            </a:ext>
          </a:extLst>
        </xdr:cNvPr>
        <xdr:cNvSpPr/>
      </xdr:nvSpPr>
      <xdr:spPr>
        <a:xfrm>
          <a:off x="14492446" y="2974816"/>
          <a:ext cx="45719" cy="72000"/>
        </a:xfrm>
        <a:prstGeom prst="ellips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8</xdr:col>
      <xdr:colOff>608806</xdr:colOff>
      <xdr:row>14</xdr:row>
      <xdr:rowOff>18256</xdr:rowOff>
    </xdr:from>
    <xdr:to>
      <xdr:col>9</xdr:col>
      <xdr:colOff>44925</xdr:colOff>
      <xdr:row>14</xdr:row>
      <xdr:rowOff>90256</xdr:rowOff>
    </xdr:to>
    <xdr:sp macro="" textlink="">
      <xdr:nvSpPr>
        <xdr:cNvPr id="31" name="Oval 30">
          <a:extLst>
            <a:ext uri="{FF2B5EF4-FFF2-40B4-BE49-F238E27FC236}">
              <a16:creationId xmlns:a16="http://schemas.microsoft.com/office/drawing/2014/main" xmlns="" id="{00000000-0008-0000-0000-00001F000000}"/>
            </a:ext>
          </a:extLst>
        </xdr:cNvPr>
        <xdr:cNvSpPr/>
      </xdr:nvSpPr>
      <xdr:spPr>
        <a:xfrm>
          <a:off x="13882846" y="2974816"/>
          <a:ext cx="45719" cy="72000"/>
        </a:xfrm>
        <a:prstGeom prst="ellips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10</xdr:col>
      <xdr:colOff>61594</xdr:colOff>
      <xdr:row>9</xdr:row>
      <xdr:rowOff>10636</xdr:rowOff>
    </xdr:from>
    <xdr:to>
      <xdr:col>10</xdr:col>
      <xdr:colOff>63182</xdr:colOff>
      <xdr:row>13</xdr:row>
      <xdr:rowOff>119221</xdr:rowOff>
    </xdr:to>
    <xdr:cxnSp macro="">
      <xdr:nvCxnSpPr>
        <xdr:cNvPr id="32" name="Straight Connector 31">
          <a:extLst>
            <a:ext uri="{FF2B5EF4-FFF2-40B4-BE49-F238E27FC236}">
              <a16:creationId xmlns:a16="http://schemas.microsoft.com/office/drawing/2014/main" xmlns="" id="{00000000-0008-0000-0000-000020000000}"/>
            </a:ext>
          </a:extLst>
        </xdr:cNvPr>
        <xdr:cNvCxnSpPr/>
      </xdr:nvCxnSpPr>
      <xdr:spPr>
        <a:xfrm rot="5400000">
          <a:off x="14051755" y="2334895"/>
          <a:ext cx="1007745" cy="15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604202</xdr:colOff>
      <xdr:row>9</xdr:row>
      <xdr:rowOff>19050</xdr:rowOff>
    </xdr:from>
    <xdr:to>
      <xdr:col>10</xdr:col>
      <xdr:colOff>605790</xdr:colOff>
      <xdr:row>13</xdr:row>
      <xdr:rowOff>127635</xdr:rowOff>
    </xdr:to>
    <xdr:cxnSp macro="">
      <xdr:nvCxnSpPr>
        <xdr:cNvPr id="33" name="Straight Connector 32">
          <a:extLst>
            <a:ext uri="{FF2B5EF4-FFF2-40B4-BE49-F238E27FC236}">
              <a16:creationId xmlns:a16="http://schemas.microsoft.com/office/drawing/2014/main" xmlns="" id="{00000000-0008-0000-0000-000021000000}"/>
            </a:ext>
          </a:extLst>
        </xdr:cNvPr>
        <xdr:cNvCxnSpPr/>
      </xdr:nvCxnSpPr>
      <xdr:spPr>
        <a:xfrm rot="5400000">
          <a:off x="14594363" y="2343309"/>
          <a:ext cx="1007745" cy="15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608806</xdr:colOff>
      <xdr:row>13</xdr:row>
      <xdr:rowOff>119221</xdr:rowOff>
    </xdr:from>
    <xdr:to>
      <xdr:col>11</xdr:col>
      <xdr:colOff>608806</xdr:colOff>
      <xdr:row>13</xdr:row>
      <xdr:rowOff>120809</xdr:rowOff>
    </xdr:to>
    <xdr:cxnSp macro="">
      <xdr:nvCxnSpPr>
        <xdr:cNvPr id="34" name="Straight Connector 33">
          <a:extLst>
            <a:ext uri="{FF2B5EF4-FFF2-40B4-BE49-F238E27FC236}">
              <a16:creationId xmlns:a16="http://schemas.microsoft.com/office/drawing/2014/main" xmlns="" id="{00000000-0008-0000-0000-000022000000}"/>
            </a:ext>
          </a:extLst>
        </xdr:cNvPr>
        <xdr:cNvCxnSpPr/>
      </xdr:nvCxnSpPr>
      <xdr:spPr>
        <a:xfrm>
          <a:off x="15102046" y="2839561"/>
          <a:ext cx="609600" cy="15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63182</xdr:colOff>
      <xdr:row>13</xdr:row>
      <xdr:rowOff>117633</xdr:rowOff>
    </xdr:from>
    <xdr:to>
      <xdr:col>10</xdr:col>
      <xdr:colOff>63182</xdr:colOff>
      <xdr:row>13</xdr:row>
      <xdr:rowOff>119221</xdr:rowOff>
    </xdr:to>
    <xdr:cxnSp macro="">
      <xdr:nvCxnSpPr>
        <xdr:cNvPr id="35" name="Straight Connector 34">
          <a:extLst>
            <a:ext uri="{FF2B5EF4-FFF2-40B4-BE49-F238E27FC236}">
              <a16:creationId xmlns:a16="http://schemas.microsoft.com/office/drawing/2014/main" xmlns="" id="{00000000-0008-0000-0000-000023000000}"/>
            </a:ext>
          </a:extLst>
        </xdr:cNvPr>
        <xdr:cNvCxnSpPr/>
      </xdr:nvCxnSpPr>
      <xdr:spPr>
        <a:xfrm>
          <a:off x="13946822" y="2837973"/>
          <a:ext cx="609600" cy="15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63182</xdr:colOff>
      <xdr:row>12</xdr:row>
      <xdr:rowOff>214471</xdr:rowOff>
    </xdr:from>
    <xdr:to>
      <xdr:col>10</xdr:col>
      <xdr:colOff>604202</xdr:colOff>
      <xdr:row>12</xdr:row>
      <xdr:rowOff>216059</xdr:rowOff>
    </xdr:to>
    <xdr:cxnSp macro="">
      <xdr:nvCxnSpPr>
        <xdr:cNvPr id="36" name="Straight Connector 35">
          <a:extLst>
            <a:ext uri="{FF2B5EF4-FFF2-40B4-BE49-F238E27FC236}">
              <a16:creationId xmlns:a16="http://schemas.microsoft.com/office/drawing/2014/main" xmlns="" id="{00000000-0008-0000-0000-000024000000}"/>
            </a:ext>
          </a:extLst>
        </xdr:cNvPr>
        <xdr:cNvCxnSpPr/>
      </xdr:nvCxnSpPr>
      <xdr:spPr>
        <a:xfrm>
          <a:off x="14556422" y="2698591"/>
          <a:ext cx="541020" cy="15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67786</xdr:colOff>
      <xdr:row>12</xdr:row>
      <xdr:rowOff>7870</xdr:rowOff>
    </xdr:from>
    <xdr:to>
      <xdr:col>10</xdr:col>
      <xdr:colOff>608806</xdr:colOff>
      <xdr:row>12</xdr:row>
      <xdr:rowOff>9458</xdr:rowOff>
    </xdr:to>
    <xdr:cxnSp macro="">
      <xdr:nvCxnSpPr>
        <xdr:cNvPr id="37" name="Straight Connector 36">
          <a:extLst>
            <a:ext uri="{FF2B5EF4-FFF2-40B4-BE49-F238E27FC236}">
              <a16:creationId xmlns:a16="http://schemas.microsoft.com/office/drawing/2014/main" xmlns="" id="{00000000-0008-0000-0000-000025000000}"/>
            </a:ext>
          </a:extLst>
        </xdr:cNvPr>
        <xdr:cNvCxnSpPr/>
      </xdr:nvCxnSpPr>
      <xdr:spPr>
        <a:xfrm>
          <a:off x="14561026" y="2491990"/>
          <a:ext cx="541020" cy="15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63182</xdr:colOff>
      <xdr:row>11</xdr:row>
      <xdr:rowOff>23971</xdr:rowOff>
    </xdr:from>
    <xdr:to>
      <xdr:col>10</xdr:col>
      <xdr:colOff>604202</xdr:colOff>
      <xdr:row>11</xdr:row>
      <xdr:rowOff>25559</xdr:rowOff>
    </xdr:to>
    <xdr:cxnSp macro="">
      <xdr:nvCxnSpPr>
        <xdr:cNvPr id="38" name="Straight Connector 37">
          <a:extLst>
            <a:ext uri="{FF2B5EF4-FFF2-40B4-BE49-F238E27FC236}">
              <a16:creationId xmlns:a16="http://schemas.microsoft.com/office/drawing/2014/main" xmlns="" id="{00000000-0008-0000-0000-000026000000}"/>
            </a:ext>
          </a:extLst>
        </xdr:cNvPr>
        <xdr:cNvCxnSpPr/>
      </xdr:nvCxnSpPr>
      <xdr:spPr>
        <a:xfrm>
          <a:off x="14556422" y="2279491"/>
          <a:ext cx="541020" cy="15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63182</xdr:colOff>
      <xdr:row>10</xdr:row>
      <xdr:rowOff>12541</xdr:rowOff>
    </xdr:from>
    <xdr:to>
      <xdr:col>10</xdr:col>
      <xdr:colOff>604202</xdr:colOff>
      <xdr:row>10</xdr:row>
      <xdr:rowOff>14129</xdr:rowOff>
    </xdr:to>
    <xdr:cxnSp macro="">
      <xdr:nvCxnSpPr>
        <xdr:cNvPr id="39" name="Straight Connector 38">
          <a:extLst>
            <a:ext uri="{FF2B5EF4-FFF2-40B4-BE49-F238E27FC236}">
              <a16:creationId xmlns:a16="http://schemas.microsoft.com/office/drawing/2014/main" xmlns="" id="{00000000-0008-0000-0000-000027000000}"/>
            </a:ext>
          </a:extLst>
        </xdr:cNvPr>
        <xdr:cNvCxnSpPr/>
      </xdr:nvCxnSpPr>
      <xdr:spPr>
        <a:xfrm>
          <a:off x="14556422" y="2031841"/>
          <a:ext cx="541020" cy="15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608806</xdr:colOff>
      <xdr:row>27</xdr:row>
      <xdr:rowOff>80010</xdr:rowOff>
    </xdr:from>
    <xdr:to>
      <xdr:col>9</xdr:col>
      <xdr:colOff>794</xdr:colOff>
      <xdr:row>37</xdr:row>
      <xdr:rowOff>90329</xdr:rowOff>
    </xdr:to>
    <xdr:cxnSp macro="">
      <xdr:nvCxnSpPr>
        <xdr:cNvPr id="40" name="Straight Connector 39">
          <a:extLst>
            <a:ext uri="{FF2B5EF4-FFF2-40B4-BE49-F238E27FC236}">
              <a16:creationId xmlns:a16="http://schemas.microsoft.com/office/drawing/2014/main" xmlns="" id="{00000000-0008-0000-0000-000028000000}"/>
            </a:ext>
          </a:extLst>
        </xdr:cNvPr>
        <xdr:cNvCxnSpPr/>
      </xdr:nvCxnSpPr>
      <xdr:spPr>
        <a:xfrm rot="5400000">
          <a:off x="12811680" y="6942376"/>
          <a:ext cx="2143919" cy="1588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606424</xdr:colOff>
      <xdr:row>27</xdr:row>
      <xdr:rowOff>79216</xdr:rowOff>
    </xdr:from>
    <xdr:to>
      <xdr:col>9</xdr:col>
      <xdr:colOff>608012</xdr:colOff>
      <xdr:row>37</xdr:row>
      <xdr:rowOff>88741</xdr:rowOff>
    </xdr:to>
    <xdr:cxnSp macro="">
      <xdr:nvCxnSpPr>
        <xdr:cNvPr id="41" name="Straight Connector 40">
          <a:extLst>
            <a:ext uri="{FF2B5EF4-FFF2-40B4-BE49-F238E27FC236}">
              <a16:creationId xmlns:a16="http://schemas.microsoft.com/office/drawing/2014/main" xmlns="" id="{00000000-0008-0000-0000-000029000000}"/>
            </a:ext>
          </a:extLst>
        </xdr:cNvPr>
        <xdr:cNvCxnSpPr/>
      </xdr:nvCxnSpPr>
      <xdr:spPr>
        <a:xfrm rot="5400000">
          <a:off x="13419295" y="6941185"/>
          <a:ext cx="2143125" cy="1588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608806</xdr:colOff>
      <xdr:row>27</xdr:row>
      <xdr:rowOff>79216</xdr:rowOff>
    </xdr:from>
    <xdr:to>
      <xdr:col>11</xdr:col>
      <xdr:colOff>794</xdr:colOff>
      <xdr:row>37</xdr:row>
      <xdr:rowOff>88741</xdr:rowOff>
    </xdr:to>
    <xdr:cxnSp macro="">
      <xdr:nvCxnSpPr>
        <xdr:cNvPr id="42" name="Straight Connector 41">
          <a:extLst>
            <a:ext uri="{FF2B5EF4-FFF2-40B4-BE49-F238E27FC236}">
              <a16:creationId xmlns:a16="http://schemas.microsoft.com/office/drawing/2014/main" xmlns="" id="{00000000-0008-0000-0000-00002A000000}"/>
            </a:ext>
          </a:extLst>
        </xdr:cNvPr>
        <xdr:cNvCxnSpPr/>
      </xdr:nvCxnSpPr>
      <xdr:spPr>
        <a:xfrm rot="5400000">
          <a:off x="14031277" y="6941185"/>
          <a:ext cx="2143125" cy="1588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607218</xdr:colOff>
      <xdr:row>27</xdr:row>
      <xdr:rowOff>80010</xdr:rowOff>
    </xdr:from>
    <xdr:to>
      <xdr:col>11</xdr:col>
      <xdr:colOff>608806</xdr:colOff>
      <xdr:row>37</xdr:row>
      <xdr:rowOff>89535</xdr:rowOff>
    </xdr:to>
    <xdr:cxnSp macro="">
      <xdr:nvCxnSpPr>
        <xdr:cNvPr id="43" name="Straight Connector 42">
          <a:extLst>
            <a:ext uri="{FF2B5EF4-FFF2-40B4-BE49-F238E27FC236}">
              <a16:creationId xmlns:a16="http://schemas.microsoft.com/office/drawing/2014/main" xmlns="" id="{00000000-0008-0000-0000-00002B000000}"/>
            </a:ext>
          </a:extLst>
        </xdr:cNvPr>
        <xdr:cNvCxnSpPr/>
      </xdr:nvCxnSpPr>
      <xdr:spPr>
        <a:xfrm rot="5400000">
          <a:off x="14639289" y="6941979"/>
          <a:ext cx="2143125" cy="1588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258286</xdr:colOff>
      <xdr:row>36</xdr:row>
      <xdr:rowOff>88741</xdr:rowOff>
    </xdr:from>
    <xdr:to>
      <xdr:col>12</xdr:col>
      <xdr:colOff>410686</xdr:colOff>
      <xdr:row>36</xdr:row>
      <xdr:rowOff>90329</xdr:rowOff>
    </xdr:to>
    <xdr:cxnSp macro="">
      <xdr:nvCxnSpPr>
        <xdr:cNvPr id="44" name="Straight Connector 43">
          <a:extLst>
            <a:ext uri="{FF2B5EF4-FFF2-40B4-BE49-F238E27FC236}">
              <a16:creationId xmlns:a16="http://schemas.microsoft.com/office/drawing/2014/main" xmlns="" id="{00000000-0008-0000-0000-00002C000000}"/>
            </a:ext>
          </a:extLst>
        </xdr:cNvPr>
        <xdr:cNvCxnSpPr/>
      </xdr:nvCxnSpPr>
      <xdr:spPr>
        <a:xfrm rot="10800000">
          <a:off x="13532326" y="7784941"/>
          <a:ext cx="2590800" cy="1588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250665</xdr:colOff>
      <xdr:row>34</xdr:row>
      <xdr:rowOff>84931</xdr:rowOff>
    </xdr:from>
    <xdr:to>
      <xdr:col>12</xdr:col>
      <xdr:colOff>403065</xdr:colOff>
      <xdr:row>34</xdr:row>
      <xdr:rowOff>86519</xdr:rowOff>
    </xdr:to>
    <xdr:cxnSp macro="">
      <xdr:nvCxnSpPr>
        <xdr:cNvPr id="45" name="Straight Connector 44">
          <a:extLst>
            <a:ext uri="{FF2B5EF4-FFF2-40B4-BE49-F238E27FC236}">
              <a16:creationId xmlns:a16="http://schemas.microsoft.com/office/drawing/2014/main" xmlns="" id="{00000000-0008-0000-0000-00002D000000}"/>
            </a:ext>
          </a:extLst>
        </xdr:cNvPr>
        <xdr:cNvCxnSpPr/>
      </xdr:nvCxnSpPr>
      <xdr:spPr>
        <a:xfrm rot="10800000">
          <a:off x="13524705" y="7384891"/>
          <a:ext cx="2590800" cy="1588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258286</xdr:colOff>
      <xdr:row>30</xdr:row>
      <xdr:rowOff>81121</xdr:rowOff>
    </xdr:from>
    <xdr:to>
      <xdr:col>12</xdr:col>
      <xdr:colOff>410686</xdr:colOff>
      <xdr:row>30</xdr:row>
      <xdr:rowOff>82709</xdr:rowOff>
    </xdr:to>
    <xdr:cxnSp macro="">
      <xdr:nvCxnSpPr>
        <xdr:cNvPr id="46" name="Straight Connector 45">
          <a:extLst>
            <a:ext uri="{FF2B5EF4-FFF2-40B4-BE49-F238E27FC236}">
              <a16:creationId xmlns:a16="http://schemas.microsoft.com/office/drawing/2014/main" xmlns="" id="{00000000-0008-0000-0000-00002E000000}"/>
            </a:ext>
          </a:extLst>
        </xdr:cNvPr>
        <xdr:cNvCxnSpPr/>
      </xdr:nvCxnSpPr>
      <xdr:spPr>
        <a:xfrm rot="10800000">
          <a:off x="13532326" y="6527641"/>
          <a:ext cx="2590800" cy="1588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258286</xdr:colOff>
      <xdr:row>28</xdr:row>
      <xdr:rowOff>77311</xdr:rowOff>
    </xdr:from>
    <xdr:to>
      <xdr:col>12</xdr:col>
      <xdr:colOff>410686</xdr:colOff>
      <xdr:row>28</xdr:row>
      <xdr:rowOff>78899</xdr:rowOff>
    </xdr:to>
    <xdr:cxnSp macro="">
      <xdr:nvCxnSpPr>
        <xdr:cNvPr id="47" name="Straight Connector 46">
          <a:extLst>
            <a:ext uri="{FF2B5EF4-FFF2-40B4-BE49-F238E27FC236}">
              <a16:creationId xmlns:a16="http://schemas.microsoft.com/office/drawing/2014/main" xmlns="" id="{00000000-0008-0000-0000-00002F000000}"/>
            </a:ext>
          </a:extLst>
        </xdr:cNvPr>
        <xdr:cNvCxnSpPr/>
      </xdr:nvCxnSpPr>
      <xdr:spPr>
        <a:xfrm rot="10800000">
          <a:off x="13532326" y="6089491"/>
          <a:ext cx="2590800" cy="1588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575944</xdr:colOff>
      <xdr:row>30</xdr:row>
      <xdr:rowOff>158909</xdr:rowOff>
    </xdr:from>
    <xdr:to>
      <xdr:col>11</xdr:col>
      <xdr:colOff>40744</xdr:colOff>
      <xdr:row>33</xdr:row>
      <xdr:rowOff>189494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xmlns="" id="{00000000-0008-0000-0000-000030000000}"/>
            </a:ext>
          </a:extLst>
        </xdr:cNvPr>
        <xdr:cNvSpPr/>
      </xdr:nvSpPr>
      <xdr:spPr>
        <a:xfrm>
          <a:off x="14459584" y="6605429"/>
          <a:ext cx="684000" cy="685905"/>
        </a:xfrm>
        <a:prstGeom prst="rect">
          <a:avLst/>
        </a:prstGeom>
        <a:solidFill>
          <a:sysClr val="window" lastClr="FFFFFF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11</xdr:col>
      <xdr:colOff>195888</xdr:colOff>
      <xdr:row>30</xdr:row>
      <xdr:rowOff>164202</xdr:rowOff>
    </xdr:from>
    <xdr:to>
      <xdr:col>11</xdr:col>
      <xdr:colOff>197476</xdr:colOff>
      <xdr:row>33</xdr:row>
      <xdr:rowOff>194787</xdr:rowOff>
    </xdr:to>
    <xdr:cxnSp macro="">
      <xdr:nvCxnSpPr>
        <xdr:cNvPr id="49" name="Straight Arrow Connector 48">
          <a:extLst>
            <a:ext uri="{FF2B5EF4-FFF2-40B4-BE49-F238E27FC236}">
              <a16:creationId xmlns:a16="http://schemas.microsoft.com/office/drawing/2014/main" xmlns="" id="{00000000-0008-0000-0000-000031000000}"/>
            </a:ext>
          </a:extLst>
        </xdr:cNvPr>
        <xdr:cNvCxnSpPr/>
      </xdr:nvCxnSpPr>
      <xdr:spPr>
        <a:xfrm rot="5400000">
          <a:off x="14956569" y="6952881"/>
          <a:ext cx="685905" cy="1588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562240</xdr:colOff>
      <xdr:row>34</xdr:row>
      <xdr:rowOff>163777</xdr:rowOff>
    </xdr:from>
    <xdr:to>
      <xdr:col>11</xdr:col>
      <xdr:colOff>27040</xdr:colOff>
      <xdr:row>34</xdr:row>
      <xdr:rowOff>165365</xdr:rowOff>
    </xdr:to>
    <xdr:cxnSp macro="">
      <xdr:nvCxnSpPr>
        <xdr:cNvPr id="50" name="Straight Arrow Connector 49">
          <a:extLst>
            <a:ext uri="{FF2B5EF4-FFF2-40B4-BE49-F238E27FC236}">
              <a16:creationId xmlns:a16="http://schemas.microsoft.com/office/drawing/2014/main" xmlns="" id="{00000000-0008-0000-0000-000032000000}"/>
            </a:ext>
          </a:extLst>
        </xdr:cNvPr>
        <xdr:cNvCxnSpPr/>
      </xdr:nvCxnSpPr>
      <xdr:spPr>
        <a:xfrm>
          <a:off x="14445880" y="7463737"/>
          <a:ext cx="684000" cy="1588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218049</xdr:colOff>
      <xdr:row>11</xdr:row>
      <xdr:rowOff>224789</xdr:rowOff>
    </xdr:from>
    <xdr:to>
      <xdr:col>8</xdr:col>
      <xdr:colOff>219637</xdr:colOff>
      <xdr:row>14</xdr:row>
      <xdr:rowOff>175931</xdr:rowOff>
    </xdr:to>
    <xdr:cxnSp macro="">
      <xdr:nvCxnSpPr>
        <xdr:cNvPr id="51" name="Straight Connector 50">
          <a:extLst>
            <a:ext uri="{FF2B5EF4-FFF2-40B4-BE49-F238E27FC236}">
              <a16:creationId xmlns:a16="http://schemas.microsoft.com/office/drawing/2014/main" xmlns="" id="{00000000-0008-0000-0000-000033000000}"/>
            </a:ext>
          </a:extLst>
        </xdr:cNvPr>
        <xdr:cNvCxnSpPr/>
      </xdr:nvCxnSpPr>
      <xdr:spPr>
        <a:xfrm rot="5400000">
          <a:off x="13166792" y="2805606"/>
          <a:ext cx="652182" cy="15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464073</xdr:colOff>
      <xdr:row>12</xdr:row>
      <xdr:rowOff>3812</xdr:rowOff>
    </xdr:from>
    <xdr:to>
      <xdr:col>12</xdr:col>
      <xdr:colOff>470853</xdr:colOff>
      <xdr:row>14</xdr:row>
      <xdr:rowOff>182339</xdr:rowOff>
    </xdr:to>
    <xdr:cxnSp macro="">
      <xdr:nvCxnSpPr>
        <xdr:cNvPr id="52" name="Straight Connector 51">
          <a:extLst>
            <a:ext uri="{FF2B5EF4-FFF2-40B4-BE49-F238E27FC236}">
              <a16:creationId xmlns:a16="http://schemas.microsoft.com/office/drawing/2014/main" xmlns="" id="{00000000-0008-0000-0000-000034000000}"/>
            </a:ext>
          </a:extLst>
        </xdr:cNvPr>
        <xdr:cNvCxnSpPr/>
      </xdr:nvCxnSpPr>
      <xdr:spPr>
        <a:xfrm rot="16200000" flipH="1">
          <a:off x="15854419" y="2810026"/>
          <a:ext cx="650967" cy="678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142080</xdr:colOff>
      <xdr:row>9</xdr:row>
      <xdr:rowOff>76200</xdr:rowOff>
    </xdr:from>
    <xdr:to>
      <xdr:col>13</xdr:col>
      <xdr:colOff>142081</xdr:colOff>
      <xdr:row>14</xdr:row>
      <xdr:rowOff>111406</xdr:rowOff>
    </xdr:to>
    <xdr:cxnSp macro="">
      <xdr:nvCxnSpPr>
        <xdr:cNvPr id="54" name="Straight Arrow Connector 53">
          <a:extLst>
            <a:ext uri="{FF2B5EF4-FFF2-40B4-BE49-F238E27FC236}">
              <a16:creationId xmlns:a16="http://schemas.microsoft.com/office/drawing/2014/main" xmlns="" id="{00000000-0008-0000-0000-000036000000}"/>
            </a:ext>
          </a:extLst>
        </xdr:cNvPr>
        <xdr:cNvCxnSpPr/>
      </xdr:nvCxnSpPr>
      <xdr:spPr>
        <a:xfrm rot="10800000" flipH="1">
          <a:off x="14648655" y="1952625"/>
          <a:ext cx="609601" cy="1187731"/>
        </a:xfrm>
        <a:prstGeom prst="straightConnector1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228600</xdr:colOff>
      <xdr:row>7</xdr:row>
      <xdr:rowOff>46016</xdr:rowOff>
    </xdr:from>
    <xdr:to>
      <xdr:col>12</xdr:col>
      <xdr:colOff>271349</xdr:colOff>
      <xdr:row>14</xdr:row>
      <xdr:rowOff>114303</xdr:rowOff>
    </xdr:to>
    <xdr:cxnSp macro="">
      <xdr:nvCxnSpPr>
        <xdr:cNvPr id="55" name="Straight Arrow Connector 54">
          <a:extLst>
            <a:ext uri="{FF2B5EF4-FFF2-40B4-BE49-F238E27FC236}">
              <a16:creationId xmlns:a16="http://schemas.microsoft.com/office/drawing/2014/main" xmlns="" id="{00000000-0008-0000-0000-000037000000}"/>
            </a:ext>
          </a:extLst>
        </xdr:cNvPr>
        <xdr:cNvCxnSpPr/>
      </xdr:nvCxnSpPr>
      <xdr:spPr>
        <a:xfrm flipH="1">
          <a:off x="14125575" y="1446191"/>
          <a:ext cx="652349" cy="1697062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178275</xdr:colOff>
      <xdr:row>25</xdr:row>
      <xdr:rowOff>0</xdr:rowOff>
    </xdr:from>
    <xdr:to>
      <xdr:col>13</xdr:col>
      <xdr:colOff>475456</xdr:colOff>
      <xdr:row>30</xdr:row>
      <xdr:rowOff>81121</xdr:rowOff>
    </xdr:to>
    <xdr:cxnSp macro="">
      <xdr:nvCxnSpPr>
        <xdr:cNvPr id="56" name="Straight Arrow Connector 55">
          <a:extLst>
            <a:ext uri="{FF2B5EF4-FFF2-40B4-BE49-F238E27FC236}">
              <a16:creationId xmlns:a16="http://schemas.microsoft.com/office/drawing/2014/main" xmlns="" id="{00000000-0008-0000-0000-000038000000}"/>
            </a:ext>
          </a:extLst>
        </xdr:cNvPr>
        <xdr:cNvCxnSpPr/>
      </xdr:nvCxnSpPr>
      <xdr:spPr>
        <a:xfrm flipV="1">
          <a:off x="14075250" y="5476875"/>
          <a:ext cx="1516381" cy="1214596"/>
        </a:xfrm>
        <a:prstGeom prst="straightConnector1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8734</xdr:colOff>
      <xdr:row>26</xdr:row>
      <xdr:rowOff>130887</xdr:rowOff>
    </xdr:from>
    <xdr:to>
      <xdr:col>14</xdr:col>
      <xdr:colOff>1</xdr:colOff>
      <xdr:row>29</xdr:row>
      <xdr:rowOff>117315</xdr:rowOff>
    </xdr:to>
    <xdr:cxnSp macro="">
      <xdr:nvCxnSpPr>
        <xdr:cNvPr id="59" name="Straight Arrow Connector 58">
          <a:extLst>
            <a:ext uri="{FF2B5EF4-FFF2-40B4-BE49-F238E27FC236}">
              <a16:creationId xmlns:a16="http://schemas.microsoft.com/office/drawing/2014/main" xmlns="" id="{00000000-0008-0000-0000-00003B000000}"/>
            </a:ext>
          </a:extLst>
        </xdr:cNvPr>
        <xdr:cNvCxnSpPr/>
      </xdr:nvCxnSpPr>
      <xdr:spPr>
        <a:xfrm rot="10800000" flipV="1">
          <a:off x="14829634" y="5723967"/>
          <a:ext cx="1210467" cy="603648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41"/>
  <sheetViews>
    <sheetView tabSelected="1" view="pageBreakPreview" topLeftCell="A10" zoomScale="78" zoomScaleNormal="100" zoomScaleSheetLayoutView="78" workbookViewId="0">
      <selection activeCell="A35" sqref="A35"/>
    </sheetView>
  </sheetViews>
  <sheetFormatPr defaultRowHeight="15"/>
  <cols>
    <col min="1" max="1" width="46.140625" customWidth="1"/>
    <col min="2" max="2" width="16.7109375" customWidth="1"/>
    <col min="3" max="3" width="35.5703125" customWidth="1"/>
    <col min="4" max="4" width="22.85546875" customWidth="1"/>
    <col min="5" max="5" width="23.28515625" customWidth="1"/>
    <col min="6" max="6" width="16.28515625" bestFit="1" customWidth="1"/>
    <col min="7" max="7" width="14.7109375" bestFit="1" customWidth="1"/>
    <col min="8" max="8" width="8.85546875" customWidth="1"/>
  </cols>
  <sheetData>
    <row r="1" spans="1:17" s="31" customFormat="1" ht="18.75">
      <c r="A1" s="42" t="s">
        <v>110</v>
      </c>
      <c r="B1" s="42"/>
      <c r="C1" s="34"/>
    </row>
    <row r="2" spans="1:17" ht="19.5">
      <c r="A2" s="1" t="s">
        <v>114</v>
      </c>
      <c r="B2" s="35">
        <v>3000</v>
      </c>
      <c r="C2" s="2" t="s">
        <v>14</v>
      </c>
      <c r="D2" s="2"/>
      <c r="E2" s="3"/>
      <c r="F2" s="3"/>
      <c r="H2" s="26" t="s">
        <v>96</v>
      </c>
    </row>
    <row r="3" spans="1:17" ht="15.75">
      <c r="A3" s="1" t="s">
        <v>113</v>
      </c>
      <c r="B3" s="35">
        <v>0</v>
      </c>
      <c r="C3" s="9" t="s">
        <v>102</v>
      </c>
      <c r="D3" s="9"/>
      <c r="E3" s="1"/>
      <c r="F3" s="3"/>
      <c r="H3" s="8"/>
    </row>
    <row r="4" spans="1:17" ht="18.75">
      <c r="A4" s="1" t="s">
        <v>115</v>
      </c>
      <c r="B4" s="35">
        <v>1500</v>
      </c>
      <c r="C4" s="1" t="s">
        <v>18</v>
      </c>
      <c r="D4" s="1" t="s">
        <v>19</v>
      </c>
      <c r="E4" s="1" t="s">
        <v>15</v>
      </c>
      <c r="F4" s="1" t="s">
        <v>17</v>
      </c>
    </row>
    <row r="5" spans="1:17" ht="18.75">
      <c r="A5" s="1" t="s">
        <v>52</v>
      </c>
      <c r="B5" s="5">
        <f>B4/B2</f>
        <v>0.5</v>
      </c>
      <c r="C5" s="1">
        <f>IF((0.5*(B13/B14)*References!B13*References!B15*(1-SQRT(1-(4.6*B31*1000000)/(B13*References!B13*References!B15*References!B15))))&lt;D8,D8,0.5*(B13/B14)*References!B13*References!B15*(1-SQRT(1-(4.6*B31*1000000)/(B13*References!B13*References!B15*References!B15))))</f>
        <v>11109.339828376102</v>
      </c>
      <c r="D5" s="1">
        <f>PI()*0.25*B38*B38</f>
        <v>490.87385212340519</v>
      </c>
      <c r="E5" s="28">
        <f>ROUNDUP(C5/D5,0)</f>
        <v>23</v>
      </c>
      <c r="F5" s="28">
        <f>IF(ROUNDDOWN(References!B13/E5,-1)&lt;450,ROUNDDOWN(References!B13/E5,-1),450)</f>
        <v>210</v>
      </c>
    </row>
    <row r="6" spans="1:17" ht="18.75">
      <c r="A6" s="1" t="s">
        <v>53</v>
      </c>
      <c r="B6" s="5">
        <f>B3/B2</f>
        <v>0</v>
      </c>
      <c r="C6" s="3"/>
      <c r="D6" s="3"/>
      <c r="E6" s="3"/>
      <c r="F6" s="3"/>
    </row>
    <row r="7" spans="1:17" ht="18.75">
      <c r="A7" s="3"/>
      <c r="B7" s="5"/>
      <c r="C7" s="1" t="s">
        <v>20</v>
      </c>
      <c r="D7" s="1" t="s">
        <v>108</v>
      </c>
      <c r="E7" s="3"/>
      <c r="F7" s="3"/>
      <c r="L7" s="43" t="str">
        <f>E5&amp;" "&amp;"nos."&amp;" "&amp;","&amp; B38&amp;"mm "&amp;"dia." &amp;" "&amp;"@"&amp;F5&amp;"mm"&amp;" "&amp;"c/c"</f>
        <v>23 nos. ,25mm dia. @210mm c/c</v>
      </c>
      <c r="M7" s="43"/>
      <c r="N7" s="43"/>
      <c r="O7" s="43"/>
      <c r="P7" s="43"/>
      <c r="Q7" s="43"/>
    </row>
    <row r="8" spans="1:17" ht="18.75">
      <c r="A8" s="1" t="s">
        <v>116</v>
      </c>
      <c r="B8" s="35">
        <v>180</v>
      </c>
      <c r="C8" s="1">
        <f>E5*D5</f>
        <v>11290.09859883832</v>
      </c>
      <c r="D8" s="1">
        <f>0.12*B24*B39*1000/100</f>
        <v>4200</v>
      </c>
      <c r="E8" s="3"/>
      <c r="F8" s="3"/>
    </row>
    <row r="9" spans="1:17" ht="18.75">
      <c r="A9" s="2" t="s">
        <v>0</v>
      </c>
      <c r="B9" s="5"/>
      <c r="C9" s="3"/>
      <c r="D9" s="3"/>
      <c r="E9" s="3"/>
      <c r="F9" s="3"/>
      <c r="N9" s="41" t="str">
        <f>E12&amp;" "&amp;"nos."&amp;" "&amp;","&amp; B38&amp;"mm "&amp;"dia." &amp;" "&amp;"@"&amp;F12&amp;"mm"&amp;" "&amp;"c/c"</f>
        <v>31 nos. ,25mm dia. @160mm c/c</v>
      </c>
      <c r="O9" s="41"/>
      <c r="P9" s="41"/>
      <c r="Q9" s="41"/>
    </row>
    <row r="10" spans="1:17" ht="15.75">
      <c r="A10" s="3" t="s">
        <v>49</v>
      </c>
      <c r="B10" s="35">
        <v>0.35</v>
      </c>
      <c r="C10" s="9" t="s">
        <v>109</v>
      </c>
      <c r="D10" s="1"/>
      <c r="E10" s="1"/>
      <c r="F10" s="3"/>
      <c r="H10" s="8"/>
      <c r="N10" s="41"/>
      <c r="O10" s="41"/>
      <c r="P10" s="41"/>
      <c r="Q10" s="41"/>
    </row>
    <row r="11" spans="1:17" ht="18.75">
      <c r="A11" s="3" t="s">
        <v>50</v>
      </c>
      <c r="B11" s="35">
        <v>0.35</v>
      </c>
      <c r="C11" s="1" t="s">
        <v>18</v>
      </c>
      <c r="D11" s="1" t="s">
        <v>19</v>
      </c>
      <c r="E11" s="1" t="s">
        <v>15</v>
      </c>
      <c r="F11" s="1" t="s">
        <v>17</v>
      </c>
    </row>
    <row r="12" spans="1:17" ht="18.75">
      <c r="A12" s="1" t="s">
        <v>5</v>
      </c>
      <c r="B12" s="35">
        <v>20</v>
      </c>
      <c r="C12" s="1">
        <f>IF((0.5*(B13/B14)*References!B14*References!B15*(1-SQRT(1-(4.6*B32*1000000)/(B13*References!B14*References!B15*References!B15))))&lt;D15,D15,0.5*(B13/B14)*References!B14*References!B15*(1-SQRT(1-(4.6*B32*1000000)/(B13*References!B14*References!B15*References!B15))))</f>
        <v>14936.052423769797</v>
      </c>
      <c r="D12" s="1">
        <f>D5</f>
        <v>490.87385212340519</v>
      </c>
      <c r="E12" s="29">
        <f>ROUNDUP(C12/D12,0)</f>
        <v>31</v>
      </c>
      <c r="F12" s="29">
        <f>IF(ROUNDDOWN(References!B14/E12,-1)&lt;450,ROUNDDOWN(References!B14/E12,-1),450)</f>
        <v>160</v>
      </c>
    </row>
    <row r="13" spans="1:17" ht="18.75">
      <c r="A13" s="1" t="s">
        <v>11</v>
      </c>
      <c r="B13" s="35">
        <v>30</v>
      </c>
      <c r="C13" s="3"/>
      <c r="D13" s="3"/>
      <c r="E13" s="3"/>
      <c r="F13" s="3"/>
      <c r="H13" s="39" t="str">
        <f>B39&amp;"mm"</f>
        <v>700mm</v>
      </c>
    </row>
    <row r="14" spans="1:17" ht="18.75">
      <c r="A14" s="1" t="s">
        <v>12</v>
      </c>
      <c r="B14" s="35">
        <v>415</v>
      </c>
      <c r="C14" s="1" t="s">
        <v>20</v>
      </c>
      <c r="D14" s="1" t="s">
        <v>108</v>
      </c>
      <c r="E14" s="3"/>
      <c r="F14" s="3"/>
      <c r="H14" s="39"/>
    </row>
    <row r="15" spans="1:17" ht="15.75">
      <c r="A15" s="1" t="s">
        <v>8</v>
      </c>
      <c r="B15" s="35">
        <v>50</v>
      </c>
      <c r="C15" s="1">
        <f>E12*D12</f>
        <v>15217.089415825561</v>
      </c>
      <c r="D15" s="1">
        <f>0.12*B20*B39*1000/100</f>
        <v>4200</v>
      </c>
      <c r="E15" s="3"/>
      <c r="F15" s="3"/>
      <c r="H15" s="39"/>
    </row>
    <row r="16" spans="1:17" ht="15.75">
      <c r="A16" s="1" t="s">
        <v>2</v>
      </c>
      <c r="B16" s="35">
        <v>1.5</v>
      </c>
      <c r="C16" s="3"/>
      <c r="D16" s="3"/>
      <c r="E16" s="3"/>
      <c r="F16" s="3"/>
    </row>
    <row r="17" spans="1:17" ht="18.75">
      <c r="A17" s="3" t="s">
        <v>112</v>
      </c>
      <c r="B17" s="38">
        <f>B2*(1+SUM(B5:B6))/B8</f>
        <v>25</v>
      </c>
      <c r="C17" s="2" t="s">
        <v>29</v>
      </c>
      <c r="D17" s="3"/>
      <c r="E17" s="3"/>
      <c r="F17" s="3"/>
      <c r="K17" s="25" t="str">
        <f>B20&amp;"m"</f>
        <v>5m</v>
      </c>
    </row>
    <row r="18" spans="1:17" ht="18.75">
      <c r="A18" s="2" t="s">
        <v>1</v>
      </c>
      <c r="B18" s="32"/>
      <c r="C18" s="9" t="s">
        <v>33</v>
      </c>
      <c r="D18" s="1"/>
      <c r="E18" s="3"/>
      <c r="F18" s="3"/>
      <c r="I18" s="44" t="s">
        <v>94</v>
      </c>
      <c r="J18" s="44"/>
      <c r="K18" s="44"/>
      <c r="L18" s="44"/>
      <c r="M18" s="44"/>
    </row>
    <row r="19" spans="1:17" ht="15.75">
      <c r="A19" s="1" t="s">
        <v>68</v>
      </c>
      <c r="B19" s="27">
        <f>0.5*B20-0.5*B10</f>
        <v>2.3250000000000002</v>
      </c>
      <c r="C19" s="1" t="s">
        <v>31</v>
      </c>
      <c r="D19" s="1">
        <f>((C15)/(B20*1000*References!B15))*100</f>
        <v>0.47739888363374317</v>
      </c>
      <c r="E19" s="3"/>
      <c r="F19" s="3"/>
    </row>
    <row r="20" spans="1:17" ht="20.25">
      <c r="A20" s="1" t="s">
        <v>69</v>
      </c>
      <c r="B20" s="33">
        <v>5</v>
      </c>
      <c r="C20" s="1" t="s">
        <v>27</v>
      </c>
      <c r="D20" s="1">
        <f>IF(D19&lt;0.15,References!G21,IF(Design!D19&lt;3,References!D22,References!J21))</f>
        <v>0.48824741948954642</v>
      </c>
      <c r="E20" s="3"/>
      <c r="F20" s="3"/>
    </row>
    <row r="21" spans="1:17" ht="20.25">
      <c r="A21" s="1" t="s">
        <v>98</v>
      </c>
      <c r="B21" s="27">
        <f>B24</f>
        <v>5</v>
      </c>
      <c r="C21" s="1" t="s">
        <v>28</v>
      </c>
      <c r="D21" s="1" t="str">
        <f>(References!L23*B20*1000*((B19*1000)-References!B15))/((B20*1000*References!B15)*1000)&amp;", "&amp;IF((References!L23*B20*1000*((B19*1000)-References!B15))/((B20*1000*References!B15)*1000)&lt;D20,"OK","REVISION REQUIRED")</f>
        <v>0.476470588235294, OK</v>
      </c>
      <c r="E21" s="3"/>
      <c r="F21" s="3"/>
    </row>
    <row r="22" spans="1:17" ht="15.75">
      <c r="A22" s="1" t="s">
        <v>99</v>
      </c>
      <c r="B22" s="27">
        <f>B20</f>
        <v>5</v>
      </c>
      <c r="C22" s="1"/>
      <c r="D22" s="1"/>
      <c r="E22" s="3"/>
      <c r="F22" s="3"/>
    </row>
    <row r="23" spans="1:17" ht="15.75">
      <c r="A23" s="1" t="s">
        <v>70</v>
      </c>
      <c r="B23" s="27">
        <f>0.5*B24-0.5*B11</f>
        <v>2.3250000000000002</v>
      </c>
      <c r="C23" s="9" t="s">
        <v>32</v>
      </c>
      <c r="D23" s="1"/>
      <c r="E23" s="3"/>
      <c r="F23" s="3"/>
    </row>
    <row r="24" spans="1:17" ht="15.75">
      <c r="A24" s="1" t="s">
        <v>71</v>
      </c>
      <c r="B24" s="33">
        <v>5</v>
      </c>
      <c r="C24" s="1" t="s">
        <v>31</v>
      </c>
      <c r="D24" s="1">
        <f>((C8)/(B24*1000*References!B15))*100</f>
        <v>0.35419917172826099</v>
      </c>
      <c r="E24" s="3"/>
      <c r="F24" s="3"/>
    </row>
    <row r="25" spans="1:17" ht="20.25">
      <c r="A25" s="1" t="s">
        <v>97</v>
      </c>
      <c r="B25" s="5" t="str">
        <f>References!K4</f>
        <v>UNIAXIAL</v>
      </c>
      <c r="C25" s="1" t="s">
        <v>27</v>
      </c>
      <c r="D25" s="1">
        <f>IF(D24&lt;0.15,References!G28,IF(Design!D24&lt;3,References!D29,References!J28))</f>
        <v>0.42418356929869572</v>
      </c>
      <c r="E25" s="3"/>
      <c r="F25" s="3"/>
      <c r="N25" s="41" t="str">
        <f>E5&amp;" "&amp;"nos."&amp;" "&amp;","&amp; B38&amp;"mm "&amp;"dia." &amp;" "&amp;"@"&amp;F5&amp;"mm"&amp;" "&amp;"c/c"</f>
        <v>23 nos. ,25mm dia. @210mm c/c</v>
      </c>
      <c r="O25" s="41"/>
      <c r="P25" s="41"/>
      <c r="Q25" s="41"/>
    </row>
    <row r="26" spans="1:17" ht="20.25">
      <c r="A26" s="1" t="s">
        <v>104</v>
      </c>
      <c r="B26" s="5">
        <f>B20*B24</f>
        <v>25</v>
      </c>
      <c r="C26" s="1" t="s">
        <v>28</v>
      </c>
      <c r="D26" s="1" t="str">
        <f>(References!L27*B24*1000*((B19*1000)-References!B15))/((B24*1000*References!B15)*1000)&amp;", "&amp;IF((References!L27*B24*1000*((B19*1000)-References!B15))/((B24*1000*References!B15)*1000)&lt;D25,"OK","REVISION REQUIRED")</f>
        <v>0.569382352941176, REVISION REQUIRED</v>
      </c>
      <c r="E26" s="3"/>
      <c r="F26" s="3"/>
      <c r="N26" s="41"/>
      <c r="O26" s="41"/>
      <c r="P26" s="41"/>
      <c r="Q26" s="41"/>
    </row>
    <row r="27" spans="1:17" ht="18.75">
      <c r="A27" s="1" t="s">
        <v>103</v>
      </c>
      <c r="B27" s="27">
        <f>IF(OR(AND(B5&gt;B20/6,B6=0),AND(B6&gt;B24/6,B5=0)),IF(B5=0,B20*B24-B20*3*(0.5*B24-B6),B24*B20-B24*3*(0.5*B20-B5)),0)</f>
        <v>0</v>
      </c>
      <c r="C27" s="1"/>
      <c r="D27" s="1"/>
      <c r="E27" s="3"/>
      <c r="F27" s="3"/>
      <c r="O27" s="41" t="str">
        <f>E12&amp;" "&amp;"nos."&amp;" "&amp;","&amp; B38&amp;"mm "&amp;"dia." &amp;" "&amp;"@"&amp;F12&amp;"mm"&amp;" "&amp;"c/c"</f>
        <v>31 nos. ,25mm dia. @160mm c/c</v>
      </c>
      <c r="P27" s="41"/>
      <c r="Q27" s="41"/>
    </row>
    <row r="28" spans="1:17" ht="15.75">
      <c r="A28" s="1" t="s">
        <v>111</v>
      </c>
      <c r="B28" s="36">
        <f>References!M7/Design!B16</f>
        <v>192</v>
      </c>
      <c r="C28" s="9" t="s">
        <v>42</v>
      </c>
      <c r="D28" s="1"/>
      <c r="E28" s="3"/>
      <c r="F28" s="3"/>
      <c r="O28" s="41"/>
      <c r="P28" s="41"/>
      <c r="Q28" s="41"/>
    </row>
    <row r="29" spans="1:17" ht="15.75">
      <c r="A29" s="37" t="str">
        <f>IF(B28&gt;B8," revision of dimensions required","")</f>
        <v xml:space="preserve"> revision of dimensions required</v>
      </c>
      <c r="C29" s="1" t="s">
        <v>45</v>
      </c>
      <c r="D29" s="1">
        <f>2*((B10*1000+References!B15)+(B11*1000+References!B15))</f>
        <v>3950</v>
      </c>
      <c r="E29" s="3"/>
      <c r="F29" s="3"/>
    </row>
    <row r="30" spans="1:17" ht="19.5">
      <c r="A30" s="2" t="s">
        <v>3</v>
      </c>
      <c r="B30" s="32"/>
      <c r="C30" s="1" t="s">
        <v>46</v>
      </c>
      <c r="D30" s="1">
        <f>D29*References!B15</f>
        <v>2518125</v>
      </c>
      <c r="E30" s="3"/>
      <c r="F30" s="3"/>
    </row>
    <row r="31" spans="1:17" ht="18.75">
      <c r="A31" s="1" t="s">
        <v>117</v>
      </c>
      <c r="B31" s="27">
        <f>References!N14*B20*B23*B23/2</f>
        <v>2432.53125</v>
      </c>
      <c r="C31" s="1" t="s">
        <v>44</v>
      </c>
      <c r="D31" s="1">
        <f>IF(0.5+(B11/B10)&lt;1,0.5+(B11/B10)&lt;1,1)</f>
        <v>1</v>
      </c>
      <c r="E31" s="3"/>
      <c r="F31" s="3"/>
    </row>
    <row r="32" spans="1:17" ht="18" customHeight="1">
      <c r="A32" s="1" t="s">
        <v>118</v>
      </c>
      <c r="B32" s="27">
        <f>References!N18*B24*B19*B19/2</f>
        <v>3213.3737812500008</v>
      </c>
      <c r="C32" s="1" t="s">
        <v>107</v>
      </c>
      <c r="D32" s="1">
        <f>0.25*SQRT(B13)</f>
        <v>1.3693063937629153</v>
      </c>
      <c r="E32" s="3"/>
      <c r="F32" s="3"/>
      <c r="H32" s="39" t="str">
        <f>B24&amp;"m"</f>
        <v>5m</v>
      </c>
      <c r="L32" s="40" t="str">
        <f>B11&amp;"m"</f>
        <v>0.35m</v>
      </c>
    </row>
    <row r="33" spans="1:12" ht="19.149999999999999" customHeight="1">
      <c r="A33" s="1" t="s">
        <v>4</v>
      </c>
      <c r="B33" s="27" t="str">
        <f>IF(B31&gt;B32,"Mx","My")</f>
        <v>My</v>
      </c>
      <c r="C33" s="1" t="s">
        <v>43</v>
      </c>
      <c r="D33" s="1">
        <f>D31*D32*D30</f>
        <v>3448084.6627942412</v>
      </c>
      <c r="E33" s="3"/>
      <c r="F33" s="3"/>
      <c r="H33" s="39"/>
      <c r="L33" s="40"/>
    </row>
    <row r="34" spans="1:12" ht="15.75">
      <c r="A34" s="1" t="s">
        <v>119</v>
      </c>
      <c r="B34" s="27">
        <f>B31/B24</f>
        <v>486.50625000000002</v>
      </c>
      <c r="C34" s="1" t="s">
        <v>47</v>
      </c>
      <c r="D34" s="1" t="str">
        <f>(References!L50*((B20*B24)*1000000-((B10*1000+References!B15)*(Design!B11*1000+References!B15))))/1000000&amp;", "&amp;IF((References!L50*((B20*B24)*1000000-((B10*1000+References!B15)*(Design!B11*1000+References!B15))))/1000&lt;D33,"OK","REVISION REQUIRED")</f>
        <v>4324.471875, REVISION REQUIRED</v>
      </c>
      <c r="E34" s="3"/>
      <c r="F34" s="3"/>
    </row>
    <row r="35" spans="1:12" ht="15.75">
      <c r="A35" s="1" t="s">
        <v>120</v>
      </c>
      <c r="B35" s="27">
        <f>B32/B20</f>
        <v>642.6747562500002</v>
      </c>
      <c r="C35" s="3"/>
      <c r="D35" s="3"/>
      <c r="E35" s="3"/>
      <c r="F35" s="3"/>
    </row>
    <row r="36" spans="1:12" ht="18.75">
      <c r="A36" s="1" t="s">
        <v>10</v>
      </c>
      <c r="B36" s="27">
        <f>VLOOKUP(B14,References!A2:B3,2)</f>
        <v>393.99929996075531</v>
      </c>
      <c r="C36" s="3"/>
      <c r="D36" s="3"/>
      <c r="E36" s="3"/>
      <c r="F36" s="3"/>
      <c r="K36" s="25" t="str">
        <f>B10&amp;"m"</f>
        <v>0.35m</v>
      </c>
    </row>
    <row r="37" spans="1:12" ht="18.75">
      <c r="A37" s="1" t="s">
        <v>6</v>
      </c>
      <c r="B37" s="27">
        <f>ROUND(0.87*B14*B12/(4*VLOOKUP(B13,References!A6:B10,2)*1.6*1.25),0)</f>
        <v>602</v>
      </c>
      <c r="C37" s="3"/>
      <c r="D37" s="3"/>
      <c r="E37" s="3"/>
      <c r="F37" s="3"/>
    </row>
    <row r="38" spans="1:12" ht="18.75">
      <c r="A38" s="4" t="s">
        <v>7</v>
      </c>
      <c r="B38" s="33">
        <v>25</v>
      </c>
      <c r="C38" s="3"/>
      <c r="D38" s="3"/>
      <c r="E38" s="3"/>
      <c r="F38" s="3"/>
    </row>
    <row r="39" spans="1:12" ht="18.75">
      <c r="A39" s="4" t="s">
        <v>13</v>
      </c>
      <c r="B39" s="27">
        <f>ROUNDUP(MAX(B36:B37)+0.5*B38+B15,-2)</f>
        <v>700</v>
      </c>
      <c r="C39" s="3"/>
      <c r="D39" s="3"/>
      <c r="E39" s="3"/>
      <c r="F39" s="3"/>
    </row>
    <row r="40" spans="1:12" ht="18.75">
      <c r="A40" s="4" t="s">
        <v>9</v>
      </c>
      <c r="B40" s="27" t="str">
        <f>B39-0.5*B38-B15 &amp;", "&amp; IF(B39-0.5*B38-B15&gt;B36,"OK","REVISION REQUIRED")</f>
        <v>637.5, OK</v>
      </c>
      <c r="C40" s="3"/>
      <c r="D40" s="3"/>
      <c r="E40" s="3"/>
      <c r="F40" s="3"/>
      <c r="K40" s="25" t="str">
        <f>B20&amp;"m"</f>
        <v>5m</v>
      </c>
    </row>
    <row r="41" spans="1:12" ht="18.75">
      <c r="C41" s="3"/>
      <c r="D41" s="3"/>
      <c r="E41" s="3"/>
      <c r="F41" s="3"/>
      <c r="K41" s="24" t="s">
        <v>95</v>
      </c>
    </row>
  </sheetData>
  <mergeCells count="9">
    <mergeCell ref="H32:H33"/>
    <mergeCell ref="L32:L33"/>
    <mergeCell ref="N25:Q26"/>
    <mergeCell ref="O27:Q28"/>
    <mergeCell ref="A1:B1"/>
    <mergeCell ref="L7:Q7"/>
    <mergeCell ref="H13:H15"/>
    <mergeCell ref="N9:Q10"/>
    <mergeCell ref="I18:M18"/>
  </mergeCells>
  <pageMargins left="1.5" right="0.8" top="1" bottom="1.25" header="0.31496062992125984" footer="0.31496062992125984"/>
  <pageSetup paperSize="9" scale="71" fitToWidth="0" fitToHeight="0" pageOrder="overThenDown" orientation="portrait" r:id="rId1"/>
  <colBreaks count="2" manualBreakCount="2">
    <brk id="2" max="1048575" man="1"/>
    <brk id="6" max="40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50"/>
  <sheetViews>
    <sheetView workbookViewId="0">
      <selection activeCell="B2" sqref="B2"/>
    </sheetView>
  </sheetViews>
  <sheetFormatPr defaultRowHeight="15"/>
  <cols>
    <col min="1" max="1" width="23.7109375" bestFit="1" customWidth="1"/>
    <col min="2" max="2" width="65.7109375" bestFit="1" customWidth="1"/>
    <col min="3" max="3" width="28.7109375" bestFit="1" customWidth="1"/>
    <col min="6" max="6" width="13.5703125" bestFit="1" customWidth="1"/>
    <col min="10" max="10" width="5" bestFit="1" customWidth="1"/>
    <col min="12" max="12" width="25.42578125" bestFit="1" customWidth="1"/>
    <col min="13" max="13" width="12.140625" bestFit="1" customWidth="1"/>
    <col min="14" max="14" width="12.7109375" bestFit="1" customWidth="1"/>
    <col min="15" max="16" width="12" bestFit="1" customWidth="1"/>
  </cols>
  <sheetData>
    <row r="1" spans="1:17" ht="18">
      <c r="A1" s="11" t="s">
        <v>37</v>
      </c>
      <c r="B1" s="11" t="s">
        <v>38</v>
      </c>
      <c r="C1" s="51" t="s">
        <v>22</v>
      </c>
      <c r="D1" s="51"/>
      <c r="E1" s="51"/>
      <c r="F1" s="51"/>
      <c r="G1" s="51"/>
      <c r="H1" s="51"/>
      <c r="I1" s="51"/>
      <c r="K1" s="46" t="s">
        <v>56</v>
      </c>
      <c r="L1" s="46"/>
      <c r="M1" s="46"/>
      <c r="N1" s="46"/>
      <c r="O1" s="46"/>
      <c r="P1" s="46"/>
      <c r="Q1" s="46"/>
    </row>
    <row r="2" spans="1:17">
      <c r="A2" s="5">
        <v>415</v>
      </c>
      <c r="B2" s="5">
        <f>IF(Design!B33="Mx",SQRT(Design!B31*1000/(0.138*Design!B13*Design!B21)),SQRT(Design!B32*1000/(0.138*Design!B13*Design!B22)))</f>
        <v>393.99929996075531</v>
      </c>
      <c r="C2" s="11" t="s">
        <v>21</v>
      </c>
      <c r="D2" s="51" t="s">
        <v>23</v>
      </c>
      <c r="E2" s="51"/>
      <c r="F2" s="51"/>
      <c r="G2" s="51"/>
      <c r="H2" s="51"/>
      <c r="I2" s="51"/>
      <c r="K2" s="7" t="s">
        <v>51</v>
      </c>
      <c r="L2" s="7" t="s">
        <v>54</v>
      </c>
      <c r="M2" s="7" t="s">
        <v>55</v>
      </c>
      <c r="N2" s="7" t="s">
        <v>62</v>
      </c>
      <c r="O2" s="7" t="s">
        <v>63</v>
      </c>
    </row>
    <row r="3" spans="1:17">
      <c r="A3" s="5">
        <v>500</v>
      </c>
      <c r="B3" s="5">
        <f>IF(Design!B33="Mx",SQRT(Design!B31*1000/(0.133*Design!B13*Design!B21)),SQRT(Design!B32*1000/(0.138*Design!B13*Design!B22)))</f>
        <v>393.99929996075531</v>
      </c>
      <c r="D3" s="11">
        <v>15</v>
      </c>
      <c r="E3" s="11">
        <v>20</v>
      </c>
      <c r="F3" s="11">
        <v>25</v>
      </c>
      <c r="G3" s="11">
        <v>30</v>
      </c>
      <c r="H3" s="11">
        <v>35</v>
      </c>
      <c r="I3" s="11">
        <v>40</v>
      </c>
      <c r="K3" s="7"/>
      <c r="L3" s="7">
        <f>Design!B20/6</f>
        <v>0.83333333333333337</v>
      </c>
      <c r="M3" s="7">
        <f>Design!B24/6</f>
        <v>0.83333333333333337</v>
      </c>
      <c r="N3" s="7">
        <f>Design!B5</f>
        <v>0.5</v>
      </c>
      <c r="O3" s="7">
        <f>Design!B6</f>
        <v>0</v>
      </c>
    </row>
    <row r="4" spans="1:17">
      <c r="A4" s="5"/>
      <c r="B4" s="5"/>
      <c r="C4" s="5">
        <v>0.15</v>
      </c>
      <c r="D4" s="5">
        <v>0.28000000000000003</v>
      </c>
      <c r="E4" s="5">
        <v>0.28000000000000003</v>
      </c>
      <c r="F4" s="5">
        <v>0.28999999999999998</v>
      </c>
      <c r="G4" s="5">
        <v>0.28999999999999998</v>
      </c>
      <c r="H4" s="5">
        <v>0.28999999999999998</v>
      </c>
      <c r="I4" s="5">
        <v>0.3</v>
      </c>
      <c r="K4" s="47" t="str">
        <f>IF(OR(N3&gt;L3,O3&gt;M3)," UNIAXIAL WITH LIFT OFF","UNIAXIAL")</f>
        <v>UNIAXIAL</v>
      </c>
      <c r="L4" s="48"/>
      <c r="M4" s="48"/>
      <c r="N4" s="48"/>
      <c r="O4" s="48"/>
      <c r="P4" s="48"/>
      <c r="Q4" s="48"/>
    </row>
    <row r="5" spans="1:17" ht="16.5">
      <c r="A5" s="19" t="s">
        <v>39</v>
      </c>
      <c r="B5" s="19" t="s">
        <v>40</v>
      </c>
      <c r="C5" s="5">
        <v>0.25</v>
      </c>
      <c r="D5" s="5">
        <v>0.35</v>
      </c>
      <c r="E5" s="5">
        <v>0.36</v>
      </c>
      <c r="F5" s="5">
        <v>0.36</v>
      </c>
      <c r="G5" s="5">
        <v>0.37</v>
      </c>
      <c r="H5" s="5">
        <v>0.37</v>
      </c>
      <c r="I5" s="5">
        <v>0.38</v>
      </c>
      <c r="L5" s="5"/>
    </row>
    <row r="6" spans="1:17" ht="19.5">
      <c r="A6" s="6">
        <v>20</v>
      </c>
      <c r="B6" s="6">
        <v>1.2</v>
      </c>
      <c r="C6" s="5">
        <v>0.5</v>
      </c>
      <c r="D6" s="5">
        <v>0.46</v>
      </c>
      <c r="E6" s="5">
        <v>0.48</v>
      </c>
      <c r="F6" s="5">
        <v>0.49</v>
      </c>
      <c r="G6" s="5">
        <v>0.5</v>
      </c>
      <c r="H6" s="5">
        <v>0.5</v>
      </c>
      <c r="I6" s="5">
        <v>0.51</v>
      </c>
      <c r="K6" s="9" t="s">
        <v>93</v>
      </c>
      <c r="L6" t="s">
        <v>57</v>
      </c>
      <c r="M6" s="5" t="s">
        <v>58</v>
      </c>
      <c r="N6" s="5" t="s">
        <v>59</v>
      </c>
      <c r="O6" s="5" t="s">
        <v>60</v>
      </c>
      <c r="P6" s="5" t="s">
        <v>61</v>
      </c>
    </row>
    <row r="7" spans="1:17">
      <c r="A7" s="6">
        <v>25</v>
      </c>
      <c r="B7" s="6">
        <v>1.4</v>
      </c>
      <c r="C7" s="5">
        <v>0.75</v>
      </c>
      <c r="D7" s="5">
        <v>0.54</v>
      </c>
      <c r="E7" s="5">
        <v>0.56000000000000005</v>
      </c>
      <c r="F7" s="5">
        <v>0.56999999999999995</v>
      </c>
      <c r="G7" s="5">
        <v>0.59</v>
      </c>
      <c r="H7" s="5">
        <v>0.59</v>
      </c>
      <c r="I7" s="5">
        <v>0.6</v>
      </c>
      <c r="L7" s="5">
        <f>Design!B16*Design!B2</f>
        <v>4500</v>
      </c>
      <c r="M7">
        <f>IF(OR(AND(L3&gt;N3,O3=0),AND(M3&gt;O3,N3=0)),(L7/(Design!B20*Design!B24))*(1+(6*Design!B5/Design!B20)+(6*Design!B6/Design!B24)),IF(O3=0,L7/(Design!B26-Design!B27)*(4*Design!B20/(3*Design!B20-6*Design!B5)),L7/(Design!B26-Design!B27)*(4*Design!B20/(3*Design!B20-6*Design!B6))))</f>
        <v>288</v>
      </c>
      <c r="N7">
        <f>M7</f>
        <v>288</v>
      </c>
      <c r="O7">
        <f>IF(OR(AND(L3&gt;N3,O3=0),AND(M3&gt;O3,N3=0)),L7/(Design!B20*Design!B24)*(1-(6*Design!B5/Design!B20)-(6*Design!B6/Design!B24)),0)</f>
        <v>72</v>
      </c>
      <c r="P7">
        <f>IF(OR(AND(L3&gt;N3,O3=0),AND(M3&gt;O3,N3=0)),L7/(Design!B20*Design!B24)*(1-(6*Design!B5/Design!B20)-(6*Design!B6/Design!B24)),0)</f>
        <v>72</v>
      </c>
    </row>
    <row r="8" spans="1:17">
      <c r="A8" s="6">
        <v>30</v>
      </c>
      <c r="B8" s="6">
        <v>1.5</v>
      </c>
      <c r="C8" s="5">
        <v>1</v>
      </c>
      <c r="D8" s="5">
        <v>0.6</v>
      </c>
      <c r="E8" s="5">
        <v>0.62</v>
      </c>
      <c r="F8" s="5">
        <v>0.64</v>
      </c>
      <c r="G8" s="5">
        <v>0.66</v>
      </c>
      <c r="H8" s="5">
        <v>0.67</v>
      </c>
      <c r="I8" s="5">
        <v>0.68</v>
      </c>
    </row>
    <row r="9" spans="1:17" ht="17.25">
      <c r="A9" s="6">
        <v>35</v>
      </c>
      <c r="B9" s="6">
        <v>1.7</v>
      </c>
      <c r="C9" s="5">
        <v>1.25</v>
      </c>
      <c r="D9" s="5">
        <v>0.64</v>
      </c>
      <c r="E9" s="5">
        <v>0.67</v>
      </c>
      <c r="F9" s="5">
        <v>0.7</v>
      </c>
      <c r="G9" s="5">
        <v>0.71</v>
      </c>
      <c r="H9" s="5">
        <v>0.73</v>
      </c>
      <c r="I9" s="5">
        <v>0.74</v>
      </c>
      <c r="K9" s="49" t="s">
        <v>79</v>
      </c>
      <c r="L9" s="49"/>
      <c r="M9" s="49"/>
      <c r="N9" s="49"/>
      <c r="O9" s="49"/>
      <c r="P9" s="49"/>
      <c r="Q9" s="49"/>
    </row>
    <row r="10" spans="1:17">
      <c r="A10" s="6">
        <v>40</v>
      </c>
      <c r="B10" s="6" t="str">
        <f>IF(Design!B13&gt;=40,1.9,"")</f>
        <v/>
      </c>
      <c r="C10" s="5">
        <v>1.5</v>
      </c>
      <c r="D10" s="5">
        <v>0.68</v>
      </c>
      <c r="E10" s="5">
        <v>0.72</v>
      </c>
      <c r="F10" s="5">
        <v>0.74</v>
      </c>
      <c r="G10" s="5">
        <v>0.76</v>
      </c>
      <c r="H10" s="5">
        <v>0.78</v>
      </c>
      <c r="I10" s="5">
        <v>0.79</v>
      </c>
      <c r="K10" s="49" t="s">
        <v>73</v>
      </c>
      <c r="L10" s="49"/>
      <c r="M10" s="49"/>
      <c r="N10" s="49"/>
      <c r="O10" s="49"/>
      <c r="P10" s="49"/>
      <c r="Q10" s="49"/>
    </row>
    <row r="11" spans="1:17">
      <c r="A11" s="5"/>
      <c r="B11" s="5"/>
      <c r="C11" s="5">
        <v>1.75</v>
      </c>
      <c r="D11" s="5">
        <v>0.71</v>
      </c>
      <c r="E11" s="5">
        <v>0.75</v>
      </c>
      <c r="F11" s="5">
        <v>0.78</v>
      </c>
      <c r="G11" s="5">
        <v>0.8</v>
      </c>
      <c r="H11" s="5">
        <v>0.82</v>
      </c>
      <c r="I11" s="5">
        <v>0.84</v>
      </c>
      <c r="K11" s="45" t="s">
        <v>30</v>
      </c>
      <c r="L11" s="45"/>
      <c r="M11" s="45"/>
      <c r="N11" s="45"/>
      <c r="O11" s="45"/>
      <c r="P11" s="45"/>
      <c r="Q11" s="45"/>
    </row>
    <row r="12" spans="1:17">
      <c r="A12" s="11" t="s">
        <v>16</v>
      </c>
      <c r="B12" s="3"/>
      <c r="C12" s="5">
        <v>2</v>
      </c>
      <c r="D12" s="5">
        <v>0.71</v>
      </c>
      <c r="E12" s="5">
        <v>0.79</v>
      </c>
      <c r="F12" s="5">
        <v>0.82</v>
      </c>
      <c r="G12" s="5">
        <v>0.84</v>
      </c>
      <c r="H12" s="5">
        <v>0.86</v>
      </c>
      <c r="I12" s="5">
        <v>0.88</v>
      </c>
      <c r="K12" s="21" t="s">
        <v>75</v>
      </c>
      <c r="L12" s="21">
        <f>Face_Intensity(Design!B24,Design!B23,N7,M7)</f>
        <v>288</v>
      </c>
      <c r="M12" s="22" t="s">
        <v>106</v>
      </c>
      <c r="N12" s="22">
        <f>0.5*(M7+O7)</f>
        <v>180</v>
      </c>
      <c r="O12" s="22"/>
      <c r="P12" s="22"/>
      <c r="Q12" s="22"/>
    </row>
    <row r="13" spans="1:17">
      <c r="A13" s="5" t="s">
        <v>100</v>
      </c>
      <c r="B13" s="5">
        <f>IF(Design!B33="Mx",Design!B21*1000,Design!B22*1000)</f>
        <v>5000</v>
      </c>
      <c r="C13" s="5">
        <v>2.25</v>
      </c>
      <c r="D13" s="5">
        <v>0.71</v>
      </c>
      <c r="E13" s="5">
        <v>0.81</v>
      </c>
      <c r="F13" s="5">
        <v>0.85</v>
      </c>
      <c r="G13" s="5">
        <v>0.88</v>
      </c>
      <c r="H13" s="5">
        <v>0.9</v>
      </c>
      <c r="I13" s="5">
        <v>0.92</v>
      </c>
      <c r="K13" s="21" t="s">
        <v>76</v>
      </c>
      <c r="L13" s="21">
        <f>Face_Intensity(Design!B24,Design!B23,P7,O7)</f>
        <v>72</v>
      </c>
      <c r="M13" s="22"/>
      <c r="N13" s="22"/>
      <c r="O13" s="22"/>
      <c r="P13" s="22"/>
      <c r="Q13" s="22"/>
    </row>
    <row r="14" spans="1:17">
      <c r="A14" s="5" t="s">
        <v>101</v>
      </c>
      <c r="B14" s="5">
        <f>Design!B22*1000</f>
        <v>5000</v>
      </c>
      <c r="C14" s="5">
        <v>2.5</v>
      </c>
      <c r="D14" s="5">
        <v>0.71</v>
      </c>
      <c r="E14" s="5">
        <v>0.82</v>
      </c>
      <c r="F14" s="5">
        <v>0.88</v>
      </c>
      <c r="G14" s="5">
        <v>0.91</v>
      </c>
      <c r="H14" s="5">
        <v>0.93</v>
      </c>
      <c r="I14" s="5">
        <v>0.95</v>
      </c>
      <c r="K14" s="21" t="s">
        <v>105</v>
      </c>
      <c r="L14" s="30">
        <f>Average_Intensity(Design!B20,Design!B19,Design!B10,L13,L12)</f>
        <v>180</v>
      </c>
      <c r="M14" s="22" t="s">
        <v>67</v>
      </c>
      <c r="N14" s="22">
        <f>0.5*(L14+N12)</f>
        <v>180</v>
      </c>
      <c r="O14" s="22"/>
      <c r="P14" s="22"/>
      <c r="Q14" s="22"/>
    </row>
    <row r="15" spans="1:17" ht="16.5">
      <c r="A15" s="5" t="s">
        <v>41</v>
      </c>
      <c r="B15" s="5">
        <f>Design!B39-0.5*Design!B38-Design!B15</f>
        <v>637.5</v>
      </c>
      <c r="C15" s="5">
        <v>2.75</v>
      </c>
      <c r="D15" s="5">
        <v>0.71</v>
      </c>
      <c r="E15" s="5">
        <v>0.82</v>
      </c>
      <c r="F15" s="5">
        <v>0.9</v>
      </c>
      <c r="G15" s="5">
        <v>0.94</v>
      </c>
      <c r="H15" s="5">
        <v>0.96</v>
      </c>
      <c r="I15" s="5">
        <v>0.98</v>
      </c>
      <c r="K15" s="45" t="s">
        <v>48</v>
      </c>
      <c r="L15" s="45"/>
      <c r="M15" s="45"/>
      <c r="N15" s="45"/>
      <c r="O15" s="45"/>
      <c r="P15" s="45"/>
      <c r="Q15" s="45"/>
    </row>
    <row r="16" spans="1:17">
      <c r="C16" s="5">
        <v>3</v>
      </c>
      <c r="D16" s="5">
        <v>0.71</v>
      </c>
      <c r="E16" s="5">
        <v>0.82</v>
      </c>
      <c r="F16" s="5">
        <v>0.92</v>
      </c>
      <c r="G16" s="5">
        <v>0.96</v>
      </c>
      <c r="H16" s="5">
        <v>0.99</v>
      </c>
      <c r="I16" s="5">
        <v>1.01</v>
      </c>
      <c r="K16" s="21" t="s">
        <v>77</v>
      </c>
      <c r="L16" s="21">
        <f>Face_Intensity(Design!B20,Design!B19,P7,N7)</f>
        <v>187.56</v>
      </c>
      <c r="M16" s="22" t="s">
        <v>106</v>
      </c>
      <c r="N16" s="22">
        <f>0.5*(M7+N7)</f>
        <v>288</v>
      </c>
      <c r="O16" s="22"/>
      <c r="P16" s="22"/>
      <c r="Q16" s="22"/>
    </row>
    <row r="17" spans="3:17">
      <c r="C17" s="5"/>
      <c r="D17" s="5"/>
      <c r="E17" s="5"/>
      <c r="F17" s="5"/>
      <c r="G17" s="5"/>
      <c r="H17" s="5"/>
      <c r="I17" s="5"/>
      <c r="K17" s="21" t="s">
        <v>78</v>
      </c>
      <c r="L17" s="21">
        <f>Face_Intensity(Design!B20,Design!B19,O7,M7)</f>
        <v>187.56</v>
      </c>
      <c r="M17" s="22"/>
      <c r="N17" s="22"/>
      <c r="O17" s="22"/>
      <c r="P17" s="22"/>
      <c r="Q17" s="22"/>
    </row>
    <row r="18" spans="3:17">
      <c r="C18" s="12" t="s">
        <v>34</v>
      </c>
      <c r="D18" s="7"/>
      <c r="E18" s="7"/>
      <c r="F18" s="7"/>
      <c r="G18" s="7"/>
      <c r="H18" s="7"/>
      <c r="I18" s="7"/>
      <c r="J18" s="13"/>
      <c r="K18" s="21" t="s">
        <v>105</v>
      </c>
      <c r="L18" s="30">
        <f>Average_Intensity(Design!B24,Design!B23,Design!B11,L16,L17)</f>
        <v>187.56</v>
      </c>
      <c r="M18" s="22" t="s">
        <v>67</v>
      </c>
      <c r="N18" s="22">
        <f>0.5*(L18+N16)</f>
        <v>237.78</v>
      </c>
      <c r="O18" s="22"/>
      <c r="P18" s="22"/>
      <c r="Q18" s="22"/>
    </row>
    <row r="19" spans="3:17">
      <c r="C19" s="52" t="s">
        <v>24</v>
      </c>
      <c r="D19" s="53"/>
      <c r="E19" s="7"/>
      <c r="F19" s="54" t="s">
        <v>25</v>
      </c>
      <c r="G19" s="54"/>
      <c r="H19" s="6"/>
      <c r="I19" s="54" t="s">
        <v>26</v>
      </c>
      <c r="J19" s="54"/>
      <c r="K19" s="50" t="s">
        <v>72</v>
      </c>
      <c r="L19" s="51"/>
      <c r="M19" s="51"/>
      <c r="N19" s="51"/>
      <c r="O19" s="51"/>
      <c r="P19" s="51"/>
      <c r="Q19" s="51"/>
    </row>
    <row r="20" spans="3:17">
      <c r="C20" s="6" t="s">
        <v>21</v>
      </c>
      <c r="D20" s="6" t="s">
        <v>35</v>
      </c>
      <c r="E20" s="7"/>
      <c r="F20" s="6" t="s">
        <v>21</v>
      </c>
      <c r="G20" s="6" t="s">
        <v>35</v>
      </c>
      <c r="H20" s="6"/>
      <c r="I20" s="6" t="s">
        <v>21</v>
      </c>
      <c r="J20" s="6" t="s">
        <v>35</v>
      </c>
      <c r="K20" s="45" t="s">
        <v>30</v>
      </c>
      <c r="L20" s="45"/>
      <c r="M20" s="45"/>
      <c r="N20" s="45"/>
      <c r="O20" s="45"/>
      <c r="P20" s="45"/>
      <c r="Q20" s="45"/>
    </row>
    <row r="21" spans="3:17">
      <c r="C21" s="14">
        <v>0.25</v>
      </c>
      <c r="D21" s="15">
        <f>VLOOKUP(C21,C4:I16,MATCH(Design!B13,References!C3:I3,0))</f>
        <v>0.37</v>
      </c>
      <c r="E21" s="7"/>
      <c r="F21" s="20">
        <v>0.15</v>
      </c>
      <c r="G21" s="18">
        <f>VLOOKUP(F21,C4:I16,MATCH(Design!B13,References!C3:I3,0))</f>
        <v>0.28999999999999998</v>
      </c>
      <c r="H21" s="6"/>
      <c r="I21" s="20">
        <v>3</v>
      </c>
      <c r="J21" s="18">
        <f>VLOOKUP(I21,C4:I16,MATCH(Design!B13,References!C3:I3,0))</f>
        <v>0.96</v>
      </c>
      <c r="K21" s="21" t="s">
        <v>64</v>
      </c>
      <c r="L21" s="5">
        <f>qs(Design!B24,Design!B23,B15,N7,M7)</f>
        <v>288</v>
      </c>
      <c r="M21" s="3"/>
      <c r="N21" s="3"/>
      <c r="O21" s="3"/>
      <c r="P21" s="3"/>
      <c r="Q21" s="3"/>
    </row>
    <row r="22" spans="3:17">
      <c r="C22" s="17">
        <f>Design!D19</f>
        <v>0.47739888363374317</v>
      </c>
      <c r="D22" s="18">
        <f>D23-((C23-C22)/(C23-C21))*(D23-D21)</f>
        <v>0.48824741948954642</v>
      </c>
      <c r="E22" s="7"/>
      <c r="F22" s="6"/>
      <c r="G22" s="6"/>
      <c r="H22" s="6"/>
      <c r="I22" s="6"/>
      <c r="J22" s="20"/>
      <c r="K22" s="21" t="s">
        <v>76</v>
      </c>
      <c r="L22" s="5">
        <f>qs(Design!B24,Design!B23,B15,P7,O7)</f>
        <v>72</v>
      </c>
      <c r="M22" s="3"/>
      <c r="N22" s="3"/>
      <c r="O22" s="3"/>
      <c r="P22" s="3"/>
      <c r="Q22" s="3"/>
    </row>
    <row r="23" spans="3:17" ht="16.5">
      <c r="C23" s="14">
        <v>0.5</v>
      </c>
      <c r="D23" s="15">
        <f>VLOOKUP(C23,C4:I16,MATCH(Design!B13,References!C3:I3,0))</f>
        <v>0.5</v>
      </c>
      <c r="E23" s="13"/>
      <c r="F23" s="20"/>
      <c r="G23" s="20"/>
      <c r="H23" s="20"/>
      <c r="I23" s="20"/>
      <c r="J23" s="20"/>
      <c r="K23" s="21" t="s">
        <v>91</v>
      </c>
      <c r="L23" s="10">
        <f>Average_Intensity(Design!B20,Design!B19,Design!B10,L22,L21)</f>
        <v>180</v>
      </c>
      <c r="M23" s="3"/>
      <c r="N23" s="3"/>
      <c r="O23" s="3"/>
      <c r="P23" s="3"/>
      <c r="Q23" s="3"/>
    </row>
    <row r="24" spans="3:17">
      <c r="C24" s="13"/>
      <c r="D24" s="13"/>
      <c r="E24" s="13"/>
      <c r="F24" s="20"/>
      <c r="G24" s="20"/>
      <c r="H24" s="20"/>
      <c r="I24" s="20"/>
      <c r="J24" s="20"/>
      <c r="K24" s="45" t="s">
        <v>48</v>
      </c>
      <c r="L24" s="45"/>
      <c r="M24" s="45"/>
      <c r="N24" s="45"/>
      <c r="O24" s="45"/>
      <c r="P24" s="45"/>
      <c r="Q24" s="45"/>
    </row>
    <row r="25" spans="3:17">
      <c r="C25" s="12" t="s">
        <v>36</v>
      </c>
      <c r="D25" s="13"/>
      <c r="E25" s="13"/>
      <c r="F25" s="20"/>
      <c r="G25" s="20"/>
      <c r="H25" s="20"/>
      <c r="I25" s="20"/>
      <c r="J25" s="20"/>
      <c r="K25" s="21" t="s">
        <v>77</v>
      </c>
      <c r="L25" s="5">
        <f>qs(Design!B20,Design!B19,B15,P7,N7)</f>
        <v>215.1</v>
      </c>
      <c r="M25" s="3"/>
      <c r="N25" s="3"/>
      <c r="O25" s="3"/>
      <c r="P25" s="3"/>
      <c r="Q25" s="3"/>
    </row>
    <row r="26" spans="3:17">
      <c r="C26" s="52" t="s">
        <v>24</v>
      </c>
      <c r="D26" s="53"/>
      <c r="E26" s="7"/>
      <c r="F26" s="54" t="s">
        <v>25</v>
      </c>
      <c r="G26" s="54"/>
      <c r="H26" s="6"/>
      <c r="I26" s="54" t="s">
        <v>26</v>
      </c>
      <c r="J26" s="54"/>
      <c r="K26" s="21" t="s">
        <v>78</v>
      </c>
      <c r="L26" s="5">
        <f>qs(Design!B20,Design!B19,B15,O7,M7)</f>
        <v>215.1</v>
      </c>
      <c r="M26" s="3"/>
      <c r="N26" s="3"/>
      <c r="O26" s="3"/>
      <c r="P26" s="3"/>
      <c r="Q26" s="3"/>
    </row>
    <row r="27" spans="3:17" ht="16.5">
      <c r="C27" s="6" t="s">
        <v>21</v>
      </c>
      <c r="D27" s="6" t="s">
        <v>35</v>
      </c>
      <c r="E27" s="7"/>
      <c r="F27" s="6" t="s">
        <v>21</v>
      </c>
      <c r="G27" s="6" t="s">
        <v>35</v>
      </c>
      <c r="H27" s="6"/>
      <c r="I27" s="6" t="s">
        <v>21</v>
      </c>
      <c r="J27" s="6" t="s">
        <v>35</v>
      </c>
      <c r="K27" s="21" t="s">
        <v>92</v>
      </c>
      <c r="L27" s="10">
        <f>Average_Intensity(Design!B24,Design!B23,Design!B11,L26,L25)</f>
        <v>215.1</v>
      </c>
      <c r="M27" s="3"/>
      <c r="N27" s="3"/>
      <c r="O27" s="3"/>
      <c r="P27" s="3"/>
      <c r="Q27" s="3"/>
    </row>
    <row r="28" spans="3:17">
      <c r="C28" s="14">
        <v>0.25</v>
      </c>
      <c r="D28" s="15">
        <f>VLOOKUP(C28,C4:I16,MATCH(Design!B13,References!C3:I3,0))</f>
        <v>0.37</v>
      </c>
      <c r="E28" s="7"/>
      <c r="F28" s="6">
        <v>0.15</v>
      </c>
      <c r="G28" s="18">
        <f>VLOOKUP(F28,C4:I16,MATCH(Design!B13,References!C3:I3,0))</f>
        <v>0.28999999999999998</v>
      </c>
      <c r="H28" s="6"/>
      <c r="I28" s="6">
        <v>3</v>
      </c>
      <c r="J28" s="18">
        <f>VLOOKUP(I28,C4:I16,MATCH(Design!B13,References!C3:I3,0))</f>
        <v>0.96</v>
      </c>
      <c r="K28" s="50" t="s">
        <v>74</v>
      </c>
      <c r="L28" s="51"/>
      <c r="M28" s="51"/>
      <c r="N28" s="51"/>
      <c r="O28" s="51"/>
      <c r="P28" s="51"/>
      <c r="Q28" s="51"/>
    </row>
    <row r="29" spans="3:17">
      <c r="C29" s="17">
        <f>Design!D24</f>
        <v>0.35419917172826099</v>
      </c>
      <c r="D29" s="16">
        <f>D30-((C30-C29)/(C30-C28))*(D30-D28)</f>
        <v>0.42418356929869572</v>
      </c>
      <c r="E29" s="7"/>
      <c r="F29" s="7"/>
      <c r="G29" s="7"/>
      <c r="H29" s="7"/>
      <c r="I29" s="7"/>
      <c r="J29" s="7"/>
      <c r="K29" s="45" t="s">
        <v>30</v>
      </c>
      <c r="L29" s="45"/>
      <c r="M29" s="45"/>
      <c r="N29" s="45"/>
      <c r="O29" s="45"/>
      <c r="P29" s="45"/>
      <c r="Q29" s="45"/>
    </row>
    <row r="30" spans="3:17">
      <c r="C30" s="14">
        <v>0.5</v>
      </c>
      <c r="D30" s="15">
        <f>VLOOKUP(C30,C4:I16,MATCH(Design!B13,References!C3:I3,0))</f>
        <v>0.5</v>
      </c>
      <c r="E30" s="7"/>
      <c r="F30" s="7"/>
      <c r="G30" s="7"/>
      <c r="H30" s="7"/>
      <c r="I30" s="7"/>
      <c r="J30" s="7"/>
      <c r="K30" s="23" t="s">
        <v>66</v>
      </c>
      <c r="L30" s="5">
        <f>Qs_two_back(Design!B24,Design!B23,Design!B11,B15,N7,M7)</f>
        <v>288</v>
      </c>
      <c r="M30" s="11"/>
      <c r="N30" s="11"/>
      <c r="O30" s="11"/>
      <c r="P30" s="11"/>
      <c r="Q30" s="11"/>
    </row>
    <row r="31" spans="3:17">
      <c r="K31" s="23" t="s">
        <v>84</v>
      </c>
      <c r="L31" s="5">
        <f>Qs_two_back(Design!B24,Design!B23,Design!B11,B15,References!P7,References!O7)</f>
        <v>72</v>
      </c>
      <c r="M31" s="11"/>
      <c r="N31" s="11"/>
      <c r="O31" s="11"/>
      <c r="P31" s="11"/>
      <c r="Q31" s="11"/>
    </row>
    <row r="32" spans="3:17">
      <c r="K32" s="23" t="s">
        <v>85</v>
      </c>
      <c r="L32" s="5">
        <f>Qs_two(Design!B20,Design!B19,B15,L31,L30)</f>
        <v>201.32999999999998</v>
      </c>
      <c r="M32" s="11"/>
      <c r="N32" s="11"/>
      <c r="O32" s="11"/>
      <c r="P32" s="11"/>
      <c r="Q32" s="11"/>
    </row>
    <row r="33" spans="11:17">
      <c r="K33" s="23" t="s">
        <v>86</v>
      </c>
      <c r="L33" s="5">
        <f>Qs_two_back(Design!B20,Design!B19,Design!B10,B15,L31,L30)</f>
        <v>158.66999999999999</v>
      </c>
      <c r="M33" s="11"/>
      <c r="N33" s="11"/>
      <c r="O33" s="11"/>
      <c r="P33" s="11"/>
      <c r="Q33" s="11"/>
    </row>
    <row r="34" spans="11:17">
      <c r="K34" s="23"/>
      <c r="L34" s="5"/>
      <c r="M34" s="11"/>
      <c r="N34" s="11"/>
      <c r="O34" s="11"/>
      <c r="P34" s="11"/>
      <c r="Q34" s="11"/>
    </row>
    <row r="35" spans="11:17">
      <c r="K35" s="23" t="s">
        <v>87</v>
      </c>
      <c r="L35" s="5">
        <f>Qs_two(Design!B24,Design!B23,B15,References!N7,M7)</f>
        <v>288</v>
      </c>
      <c r="M35" s="11"/>
      <c r="N35" s="11"/>
      <c r="O35" s="11"/>
      <c r="P35" s="11"/>
      <c r="Q35" s="11"/>
    </row>
    <row r="36" spans="11:17">
      <c r="K36" s="23" t="s">
        <v>88</v>
      </c>
      <c r="L36" s="5">
        <f>Qs_two(Design!B24,Design!B23,B15,P7,O7)</f>
        <v>72</v>
      </c>
      <c r="M36" s="11"/>
      <c r="N36" s="11"/>
      <c r="O36" s="11"/>
      <c r="P36" s="11"/>
      <c r="Q36" s="11"/>
    </row>
    <row r="37" spans="11:17">
      <c r="K37" s="23" t="s">
        <v>89</v>
      </c>
      <c r="L37" s="5">
        <f>Qs_two(Design!B21,Design!B19,B15,L36,L35)</f>
        <v>201.32999999999998</v>
      </c>
      <c r="M37" s="11"/>
      <c r="N37" s="11"/>
      <c r="O37" s="11"/>
      <c r="P37" s="11"/>
      <c r="Q37" s="11"/>
    </row>
    <row r="38" spans="11:17">
      <c r="K38" s="23" t="s">
        <v>90</v>
      </c>
      <c r="L38" s="5">
        <f>Qs_two_back(Design!B20,Design!B19,Design!B10,B15,L36,L35)</f>
        <v>158.66999999999999</v>
      </c>
      <c r="M38" s="11"/>
      <c r="N38" s="11"/>
      <c r="O38" s="11"/>
      <c r="P38" s="11"/>
      <c r="Q38" s="11"/>
    </row>
    <row r="39" spans="11:17">
      <c r="K39" s="45" t="s">
        <v>48</v>
      </c>
      <c r="L39" s="45"/>
      <c r="M39" s="45"/>
      <c r="N39" s="45"/>
      <c r="O39" s="45"/>
      <c r="P39" s="45"/>
      <c r="Q39" s="45"/>
    </row>
    <row r="40" spans="11:17">
      <c r="K40" s="21" t="s">
        <v>77</v>
      </c>
      <c r="L40" s="5">
        <f>Qs_two(Design!B20,Design!B19,B15,P7,N7)</f>
        <v>201.32999999999998</v>
      </c>
    </row>
    <row r="41" spans="11:17">
      <c r="K41" s="21" t="s">
        <v>78</v>
      </c>
      <c r="L41" s="5">
        <f>Qs_two(Design!B20,Design!B19,B15,O7,M7)</f>
        <v>201.32999999999998</v>
      </c>
    </row>
    <row r="42" spans="11:17">
      <c r="K42" s="21" t="s">
        <v>80</v>
      </c>
      <c r="L42" s="5">
        <f>Qs_two_back(Design!B24,Design!B23,Design!B11,B15,L40,L41)</f>
        <v>201.32999999999998</v>
      </c>
    </row>
    <row r="43" spans="11:17">
      <c r="K43" s="21" t="s">
        <v>81</v>
      </c>
      <c r="L43" s="5">
        <f>Qs_two(Design!B24,Design!B23,B15,L40,L41)</f>
        <v>201.32999999999998</v>
      </c>
    </row>
    <row r="44" spans="11:17">
      <c r="L44" s="5"/>
    </row>
    <row r="45" spans="11:17">
      <c r="K45" s="21" t="s">
        <v>64</v>
      </c>
      <c r="L45" s="5">
        <f>Qs_two_back(Design!B20,Design!B19,Design!B10,B15,P7,N7)</f>
        <v>158.66999999999999</v>
      </c>
    </row>
    <row r="46" spans="11:17">
      <c r="K46" s="21" t="s">
        <v>65</v>
      </c>
      <c r="L46" s="5">
        <f>Qs_two_back(Design!B20,Design!B19,Design!B10,B15,O7,M7)</f>
        <v>158.66999999999999</v>
      </c>
    </row>
    <row r="47" spans="11:17">
      <c r="K47" s="21" t="s">
        <v>82</v>
      </c>
      <c r="L47" s="5">
        <f>Qs_two_back(Design!B24,Design!B23,Design!B11,References!B15,L45,L46)</f>
        <v>158.66999999999999</v>
      </c>
    </row>
    <row r="48" spans="11:17">
      <c r="K48" s="21" t="s">
        <v>83</v>
      </c>
      <c r="L48" s="5">
        <f>Qs_two(Design!B24,Design!B23,B15,L45,L46)</f>
        <v>158.66999999999999</v>
      </c>
    </row>
    <row r="50" spans="11:12">
      <c r="K50" s="21" t="s">
        <v>67</v>
      </c>
      <c r="L50" s="10">
        <f>(MAX(L42,L32)+MAX(L43,L37)+MAX(L47,L33)+MAX(L48,L38))/4</f>
        <v>179.99999999999997</v>
      </c>
    </row>
  </sheetData>
  <mergeCells count="20">
    <mergeCell ref="C26:D26"/>
    <mergeCell ref="F26:G26"/>
    <mergeCell ref="I26:J26"/>
    <mergeCell ref="C1:I1"/>
    <mergeCell ref="D2:I2"/>
    <mergeCell ref="C19:D19"/>
    <mergeCell ref="F19:G19"/>
    <mergeCell ref="I19:J19"/>
    <mergeCell ref="K39:Q39"/>
    <mergeCell ref="K29:Q29"/>
    <mergeCell ref="K1:Q1"/>
    <mergeCell ref="K4:Q4"/>
    <mergeCell ref="K9:Q9"/>
    <mergeCell ref="K10:Q10"/>
    <mergeCell ref="K15:Q15"/>
    <mergeCell ref="K11:Q11"/>
    <mergeCell ref="K19:Q19"/>
    <mergeCell ref="K20:Q20"/>
    <mergeCell ref="K24:Q24"/>
    <mergeCell ref="K28:Q28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Design</vt:lpstr>
      <vt:lpstr>References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 Laptop</dc:creator>
  <cp:lastModifiedBy>DELL</cp:lastModifiedBy>
  <cp:lastPrinted>2021-05-31T09:41:16Z</cp:lastPrinted>
  <dcterms:created xsi:type="dcterms:W3CDTF">2020-03-04T16:19:55Z</dcterms:created>
  <dcterms:modified xsi:type="dcterms:W3CDTF">2021-05-31T09:44:30Z</dcterms:modified>
</cp:coreProperties>
</file>