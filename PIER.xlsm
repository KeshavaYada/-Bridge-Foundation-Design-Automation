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project\excels\"/>
    </mc:Choice>
  </mc:AlternateContent>
  <bookViews>
    <workbookView xWindow="0" yWindow="0" windowWidth="20490" windowHeight="10920" activeTab="3"/>
  </bookViews>
  <sheets>
    <sheet name="Sheet1" sheetId="1" r:id="rId1"/>
    <sheet name="check" sheetId="4" r:id="rId2"/>
    <sheet name="Y" sheetId="3" r:id="rId3"/>
    <sheet name="Z" sheetId="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2" i="1" l="1"/>
  <c r="C12" i="1" l="1"/>
  <c r="D43" i="5"/>
  <c r="C43" i="3"/>
  <c r="C9" i="3"/>
  <c r="C8" i="3"/>
  <c r="D22" i="5"/>
  <c r="B20" i="5"/>
  <c r="C11" i="5"/>
  <c r="C9" i="5"/>
  <c r="C8" i="5"/>
  <c r="B20" i="3"/>
  <c r="C11" i="3"/>
  <c r="C13" i="5" l="1"/>
  <c r="B18" i="5"/>
  <c r="B15" i="5"/>
  <c r="C10" i="5"/>
  <c r="D2" i="5"/>
  <c r="B2" i="5"/>
  <c r="B3" i="5" s="1"/>
  <c r="E43" i="5" s="1"/>
  <c r="C44" i="4"/>
  <c r="C43" i="4"/>
  <c r="C42" i="4"/>
  <c r="D21" i="3"/>
  <c r="B18" i="3"/>
  <c r="B15" i="3"/>
  <c r="C10" i="3"/>
  <c r="D2" i="3"/>
  <c r="B2" i="3"/>
  <c r="G27" i="4"/>
  <c r="G26" i="4"/>
  <c r="E17" i="4"/>
  <c r="D21" i="5" s="1"/>
  <c r="I44" i="5" l="1"/>
  <c r="I43" i="5"/>
  <c r="C45" i="4"/>
  <c r="C46" i="4" s="1"/>
  <c r="C47" i="4" s="1"/>
  <c r="E22" i="5"/>
  <c r="C8" i="4"/>
  <c r="C10" i="4" s="1"/>
  <c r="B43" i="3"/>
  <c r="C43" i="5"/>
  <c r="C41" i="4"/>
  <c r="C50" i="4" s="1"/>
  <c r="C52" i="4" s="1"/>
  <c r="G29" i="4"/>
  <c r="G31" i="4" s="1"/>
  <c r="H30" i="4" s="1"/>
  <c r="F39" i="5"/>
  <c r="H39" i="5" s="1"/>
  <c r="B16" i="5"/>
  <c r="B17" i="5" s="1"/>
  <c r="B40" i="5"/>
  <c r="B36" i="5"/>
  <c r="B32" i="5"/>
  <c r="C29" i="5"/>
  <c r="C27" i="5"/>
  <c r="B39" i="5"/>
  <c r="B35" i="5"/>
  <c r="B31" i="5"/>
  <c r="B29" i="5"/>
  <c r="B27" i="5"/>
  <c r="B41" i="5"/>
  <c r="B37" i="5"/>
  <c r="B28" i="5"/>
  <c r="B38" i="5"/>
  <c r="B34" i="5"/>
  <c r="C30" i="5"/>
  <c r="C28" i="5"/>
  <c r="B33" i="5"/>
  <c r="B30" i="5"/>
  <c r="D18" i="5"/>
  <c r="F27" i="5"/>
  <c r="G31" i="5"/>
  <c r="F36" i="5"/>
  <c r="H36" i="5" s="1"/>
  <c r="G39" i="5"/>
  <c r="G27" i="5"/>
  <c r="G29" i="5"/>
  <c r="G32" i="5"/>
  <c r="I32" i="5" s="1"/>
  <c r="F33" i="5"/>
  <c r="H33" i="5" s="1"/>
  <c r="G36" i="5"/>
  <c r="F37" i="5"/>
  <c r="H37" i="5" s="1"/>
  <c r="G40" i="5"/>
  <c r="F41" i="5"/>
  <c r="H41" i="5" s="1"/>
  <c r="F29" i="5"/>
  <c r="F32" i="5"/>
  <c r="H32" i="5" s="1"/>
  <c r="G35" i="5"/>
  <c r="I35" i="5" s="1"/>
  <c r="F40" i="5"/>
  <c r="H40" i="5" s="1"/>
  <c r="C12" i="5"/>
  <c r="F28" i="5"/>
  <c r="F30" i="5"/>
  <c r="G33" i="5"/>
  <c r="F34" i="5"/>
  <c r="H34" i="5" s="1"/>
  <c r="G37" i="5"/>
  <c r="F38" i="5"/>
  <c r="H38" i="5" s="1"/>
  <c r="G41" i="5"/>
  <c r="G28" i="5"/>
  <c r="I28" i="5" s="1"/>
  <c r="G30" i="5"/>
  <c r="F31" i="5"/>
  <c r="H31" i="5" s="1"/>
  <c r="G34" i="5"/>
  <c r="F35" i="5"/>
  <c r="H35" i="5" s="1"/>
  <c r="G38" i="5"/>
  <c r="I38" i="5" s="1"/>
  <c r="G45" i="4"/>
  <c r="G46" i="4" s="1"/>
  <c r="D22" i="3"/>
  <c r="D18" i="3"/>
  <c r="E22" i="3"/>
  <c r="F28" i="3"/>
  <c r="F29" i="3"/>
  <c r="F30" i="3"/>
  <c r="F31" i="3"/>
  <c r="F32" i="3"/>
  <c r="F33" i="3"/>
  <c r="H33" i="3" s="1"/>
  <c r="F34" i="3"/>
  <c r="H34" i="3" s="1"/>
  <c r="F35" i="3"/>
  <c r="H35" i="3" s="1"/>
  <c r="F36" i="3"/>
  <c r="H36" i="3" s="1"/>
  <c r="F37" i="3"/>
  <c r="H37" i="3" s="1"/>
  <c r="F38" i="3"/>
  <c r="H38" i="3" s="1"/>
  <c r="F39" i="3"/>
  <c r="H39" i="3" s="1"/>
  <c r="F40" i="3"/>
  <c r="H40" i="3" s="1"/>
  <c r="F41" i="3"/>
  <c r="H41" i="3" s="1"/>
  <c r="F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27" i="3"/>
  <c r="H27" i="5" l="1"/>
  <c r="H28" i="5"/>
  <c r="H30" i="5"/>
  <c r="H44" i="5" s="1"/>
  <c r="I37" i="5"/>
  <c r="I29" i="5"/>
  <c r="H29" i="5"/>
  <c r="I40" i="5"/>
  <c r="I30" i="5"/>
  <c r="I36" i="5"/>
  <c r="I27" i="5"/>
  <c r="I34" i="5"/>
  <c r="I41" i="5"/>
  <c r="I33" i="5"/>
  <c r="I39" i="5"/>
  <c r="I31" i="5"/>
  <c r="E21" i="5"/>
  <c r="B19" i="5"/>
  <c r="G47" i="4"/>
  <c r="C49" i="4" s="1"/>
  <c r="C48" i="4"/>
  <c r="B16" i="3"/>
  <c r="B17" i="3" s="1"/>
  <c r="C13" i="3"/>
  <c r="B3" i="3"/>
  <c r="E43" i="3" s="1"/>
  <c r="E44" i="3" s="1"/>
  <c r="D43" i="3" s="1"/>
  <c r="I43" i="3" l="1"/>
  <c r="I44" i="3" s="1"/>
  <c r="G45" i="3"/>
  <c r="C53" i="4"/>
  <c r="A55" i="4" s="1"/>
  <c r="B31" i="3"/>
  <c r="I31" i="3" s="1"/>
  <c r="B36" i="3"/>
  <c r="I36" i="3" s="1"/>
  <c r="B40" i="3"/>
  <c r="I40" i="3" s="1"/>
  <c r="B35" i="3"/>
  <c r="I35" i="3" s="1"/>
  <c r="B39" i="3"/>
  <c r="I39" i="3" s="1"/>
  <c r="B33" i="3"/>
  <c r="I33" i="3" s="1"/>
  <c r="B37" i="3"/>
  <c r="I37" i="3" s="1"/>
  <c r="B41" i="3"/>
  <c r="I41" i="3" s="1"/>
  <c r="B34" i="3"/>
  <c r="I34" i="3" s="1"/>
  <c r="B38" i="3"/>
  <c r="I38" i="3" s="1"/>
  <c r="B32" i="3"/>
  <c r="I32" i="3" s="1"/>
  <c r="C28" i="3"/>
  <c r="H28" i="3" s="1"/>
  <c r="C29" i="3"/>
  <c r="H29" i="3" s="1"/>
  <c r="C30" i="3"/>
  <c r="H30" i="3" s="1"/>
  <c r="C27" i="3"/>
  <c r="H27" i="3" s="1"/>
  <c r="H32" i="3"/>
  <c r="H31" i="3"/>
  <c r="B28" i="3"/>
  <c r="I28" i="3" s="1"/>
  <c r="B29" i="3"/>
  <c r="I29" i="3" s="1"/>
  <c r="B27" i="3"/>
  <c r="I27" i="3" s="1"/>
  <c r="B30" i="3"/>
  <c r="I30" i="3" s="1"/>
  <c r="C12" i="3"/>
  <c r="E21" i="3" s="1"/>
  <c r="H44" i="3" l="1"/>
  <c r="F45" i="3" s="1"/>
  <c r="B19" i="3"/>
  <c r="D6" i="1"/>
  <c r="M55" i="1"/>
  <c r="M56" i="1" s="1"/>
  <c r="L60" i="1" s="1"/>
  <c r="L55" i="1"/>
  <c r="L56" i="1" s="1"/>
  <c r="L61" i="1" s="1"/>
  <c r="N36" i="1"/>
  <c r="N37" i="1" s="1"/>
  <c r="N40" i="1" s="1"/>
  <c r="N30" i="1"/>
  <c r="N32" i="1" s="1"/>
  <c r="C71" i="1"/>
  <c r="C70" i="1"/>
  <c r="C68" i="1"/>
  <c r="C67" i="1"/>
  <c r="A67" i="1"/>
  <c r="D52" i="1"/>
  <c r="A66" i="1" s="1"/>
  <c r="N11" i="1"/>
  <c r="N17" i="1"/>
  <c r="N20" i="1" s="1"/>
  <c r="A6" i="1"/>
  <c r="A5" i="1"/>
  <c r="N10" i="1"/>
  <c r="J47" i="1" l="1"/>
  <c r="D94" i="1"/>
  <c r="F94" i="1" s="1"/>
  <c r="N22" i="1"/>
  <c r="N25" i="1" s="1"/>
  <c r="N23" i="1"/>
  <c r="N26" i="1" s="1"/>
  <c r="N43" i="1"/>
  <c r="N46" i="1" s="1"/>
  <c r="N42" i="1"/>
  <c r="N31" i="1"/>
  <c r="C35" i="1"/>
  <c r="C37" i="1" s="1"/>
  <c r="C38" i="1" s="1"/>
  <c r="C27" i="1"/>
  <c r="C30" i="1" s="1"/>
  <c r="C17" i="1"/>
  <c r="C8" i="1"/>
  <c r="B6" i="1"/>
  <c r="C27" i="4" l="1"/>
  <c r="C26" i="4"/>
  <c r="N45" i="1"/>
  <c r="C20" i="1"/>
  <c r="L51" i="1"/>
  <c r="B28" i="4" l="1"/>
  <c r="C29" i="4" s="1"/>
  <c r="B30" i="4"/>
  <c r="C31" i="4" s="1"/>
  <c r="L72" i="1"/>
  <c r="L76" i="1" s="1"/>
  <c r="M58" i="1"/>
  <c r="L73" i="1"/>
  <c r="L75" i="1" s="1"/>
  <c r="A34" i="4" l="1"/>
  <c r="M59" i="1"/>
  <c r="K64" i="1" s="1"/>
  <c r="K63" i="1"/>
</calcChain>
</file>

<file path=xl/sharedStrings.xml><?xml version="1.0" encoding="utf-8"?>
<sst xmlns="http://schemas.openxmlformats.org/spreadsheetml/2006/main" count="334" uniqueCount="152">
  <si>
    <t>DIMENSIONS:</t>
  </si>
  <si>
    <t>=</t>
  </si>
  <si>
    <t>m</t>
  </si>
  <si>
    <t>(IRC 112 TABLE 11.1)</t>
  </si>
  <si>
    <t>DEAD LOAD:</t>
  </si>
  <si>
    <t>TOTAL</t>
  </si>
  <si>
    <t>BREAKING FORCE:</t>
  </si>
  <si>
    <t>Force= 20% of the weight of design vehicle</t>
  </si>
  <si>
    <t>(IRC-6 2000 ,214.2)</t>
  </si>
  <si>
    <t>weight of vehicle</t>
  </si>
  <si>
    <t>Breaking force</t>
  </si>
  <si>
    <t>height of road top level from base</t>
  </si>
  <si>
    <t>FORCE acts @ 1.2 m from road base</t>
  </si>
  <si>
    <t>Moment at base of pier</t>
  </si>
  <si>
    <t>BUYONCY:</t>
  </si>
  <si>
    <t>Area of pier:</t>
  </si>
  <si>
    <t>Depth of submerged part of pier:</t>
  </si>
  <si>
    <t>volume of submerged part of pier:</t>
  </si>
  <si>
    <t>Net upward force due to buyoncy:</t>
  </si>
  <si>
    <t>Water current forces:</t>
  </si>
  <si>
    <t>angle of  watter current(θ)</t>
  </si>
  <si>
    <t>Maximum mean velocity</t>
  </si>
  <si>
    <t>Maximum velocity</t>
  </si>
  <si>
    <t>m/sec</t>
  </si>
  <si>
    <t>Pressure intensity P</t>
  </si>
  <si>
    <t>Pressure parallel to depth</t>
  </si>
  <si>
    <t>Pressure  perpendicularto depth</t>
  </si>
  <si>
    <t>Force parallel to depth</t>
  </si>
  <si>
    <t>Force perpendicular to depth</t>
  </si>
  <si>
    <t>permeter of exposed area:(parallel to d)</t>
  </si>
  <si>
    <t>permeter of exposed area:(perpendicular)</t>
  </si>
  <si>
    <t>WIND LOAD</t>
  </si>
  <si>
    <t>HEIGHT OF PIER</t>
  </si>
  <si>
    <t>HOURLY MEAN SPEED OF WIND</t>
  </si>
  <si>
    <t>m/s</t>
  </si>
  <si>
    <t>N/m^2</t>
  </si>
  <si>
    <t>A1</t>
  </si>
  <si>
    <t>G</t>
  </si>
  <si>
    <t>t/b</t>
  </si>
  <si>
    <t>H/b</t>
  </si>
  <si>
    <t>Cd</t>
  </si>
  <si>
    <t>N</t>
  </si>
  <si>
    <t>EARTH QUAKE</t>
  </si>
  <si>
    <t>GRADE OF CONCRETE</t>
  </si>
  <si>
    <t>GRADE OF STEEL</t>
  </si>
  <si>
    <t>N/mm^2</t>
  </si>
  <si>
    <t>Ecm</t>
  </si>
  <si>
    <t>Gpa</t>
  </si>
  <si>
    <t>Dead load</t>
  </si>
  <si>
    <t>I(MOI)</t>
  </si>
  <si>
    <t>TRANSVERSE</t>
  </si>
  <si>
    <t>LONGITUDINAL</t>
  </si>
  <si>
    <t>CRACKED I</t>
  </si>
  <si>
    <t>R</t>
  </si>
  <si>
    <t>IMPORTANCE FACTOR</t>
  </si>
  <si>
    <t>Z</t>
  </si>
  <si>
    <t>K transverse</t>
  </si>
  <si>
    <t>K longitudinal</t>
  </si>
  <si>
    <t>mass in longitudinal</t>
  </si>
  <si>
    <t>mass in transverse</t>
  </si>
  <si>
    <t>kg</t>
  </si>
  <si>
    <t>N/mm</t>
  </si>
  <si>
    <t>TIME PERIOD</t>
  </si>
  <si>
    <t>Longitudinal</t>
  </si>
  <si>
    <t>transverse</t>
  </si>
  <si>
    <t>sa/g</t>
  </si>
  <si>
    <t>20 % live load max reaction(excl impact)</t>
  </si>
  <si>
    <t>Fh longitudinal</t>
  </si>
  <si>
    <t>Fh transverse</t>
  </si>
  <si>
    <t>MOMENT(ML)</t>
  </si>
  <si>
    <t>MOMENT(MT)</t>
  </si>
  <si>
    <t>rectangle</t>
  </si>
  <si>
    <t>b</t>
  </si>
  <si>
    <t>h</t>
  </si>
  <si>
    <t>%</t>
  </si>
  <si>
    <t>Ast</t>
  </si>
  <si>
    <t>mm^2</t>
  </si>
  <si>
    <t>mm</t>
  </si>
  <si>
    <t>provided</t>
  </si>
  <si>
    <t>fck</t>
  </si>
  <si>
    <t>fyd</t>
  </si>
  <si>
    <t>λ</t>
  </si>
  <si>
    <t>η</t>
  </si>
  <si>
    <r>
      <rPr>
        <sz val="11"/>
        <color theme="1"/>
        <rFont val="Calibri"/>
        <family val="2"/>
      </rPr>
      <t>ά</t>
    </r>
    <r>
      <rPr>
        <sz val="11"/>
        <color theme="1"/>
        <rFont val="Calibri"/>
        <family val="2"/>
        <scheme val="minor"/>
      </rPr>
      <t>cc</t>
    </r>
  </si>
  <si>
    <t>d'</t>
  </si>
  <si>
    <t>fck cyil</t>
  </si>
  <si>
    <t>fy</t>
  </si>
  <si>
    <t>dimensions of pier</t>
  </si>
  <si>
    <t>bar dia</t>
  </si>
  <si>
    <t>cover</t>
  </si>
  <si>
    <t>b'</t>
  </si>
  <si>
    <t>h'</t>
  </si>
  <si>
    <t>assume % of steel</t>
  </si>
  <si>
    <t>Ast=</t>
  </si>
  <si>
    <t>NO of bars</t>
  </si>
  <si>
    <t>spacing</t>
  </si>
  <si>
    <t>mm(&lt;200)</t>
  </si>
  <si>
    <t>NO of bars(@ parallel to width)</t>
  </si>
  <si>
    <t>NO of bars(@ parallel to depth)</t>
  </si>
  <si>
    <t>N'</t>
  </si>
  <si>
    <t>M'</t>
  </si>
  <si>
    <t>provided%</t>
  </si>
  <si>
    <t>CHART PREPARATION</t>
  </si>
  <si>
    <t xml:space="preserve"> exposed area:(parallel to d)</t>
  </si>
  <si>
    <t xml:space="preserve"> exposed area:(perpendicular)</t>
  </si>
  <si>
    <t>AXIAL FORCE</t>
  </si>
  <si>
    <t>DEPTH</t>
  </si>
  <si>
    <t>WIDTH</t>
  </si>
  <si>
    <t>Assume % of steel</t>
  </si>
  <si>
    <t>Dia of bar provided</t>
  </si>
  <si>
    <t>bars required</t>
  </si>
  <si>
    <t>bars provided</t>
  </si>
  <si>
    <t>bars arrangement example:</t>
  </si>
  <si>
    <t>MOMENT ABOUT Y</t>
  </si>
  <si>
    <t>MOMENT ABOUT Z</t>
  </si>
  <si>
    <t>slenderness ratios</t>
  </si>
  <si>
    <t>CHECK FOR UNIAXIAL</t>
  </si>
  <si>
    <t>(distance between layers)</t>
  </si>
  <si>
    <t>fcd</t>
  </si>
  <si>
    <t>As</t>
  </si>
  <si>
    <t>s</t>
  </si>
  <si>
    <t>(between layers in y direction)</t>
  </si>
  <si>
    <t>(between layers in z direction)</t>
  </si>
  <si>
    <t>cover(mm)</t>
  </si>
  <si>
    <t>spacing (mm)</t>
  </si>
  <si>
    <t>n</t>
  </si>
  <si>
    <t>α</t>
  </si>
  <si>
    <t>refer sheet Y for uniaxial about y axis</t>
  </si>
  <si>
    <t>refer sheet Z for uniaxial about z axis</t>
  </si>
  <si>
    <t>CHECK FOR BIAXIAL</t>
  </si>
  <si>
    <t>solving for deviation of-20 degrees with provided angle</t>
  </si>
  <si>
    <t>solving for deviation of+20 degrees with provided angle</t>
  </si>
  <si>
    <t>FORCE CALCULATIONS:</t>
  </si>
  <si>
    <t>If point is inside the curve then pier is safe in moment about Y</t>
  </si>
  <si>
    <t>P-M CURVE( MOMENT ABOUT Z)</t>
  </si>
  <si>
    <t>Annexure -A- PIER</t>
  </si>
  <si>
    <t>Checks for Pier</t>
  </si>
  <si>
    <t>P-M CURVE (MOMENT ABOUT  Y)</t>
  </si>
  <si>
    <t>If point is inside curve then pier is safe in moment about Z</t>
  </si>
  <si>
    <t>compression equal to tension case moments finder</t>
  </si>
  <si>
    <t>Note: manually plot orange line(e = eb) from origin to intersction point</t>
  </si>
  <si>
    <t>LENGTH</t>
  </si>
  <si>
    <t>EFFECTIVE LENGTH</t>
  </si>
  <si>
    <t>PIER</t>
  </si>
  <si>
    <t>PIER CAP</t>
  </si>
  <si>
    <t>SUPERSTRUCTURE=</t>
  </si>
  <si>
    <t>CROSS SECTION TYPE:</t>
  </si>
  <si>
    <t>kN</t>
  </si>
  <si>
    <t>kN m</t>
  </si>
  <si>
    <t>kN/m^2</t>
  </si>
  <si>
    <t>m^4</t>
  </si>
  <si>
    <t>kN(DL+(DL OF PIER/3)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</si>
</sst>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Alignment="1"/>
    <xf numFmtId="0" fontId="0" fillId="2" borderId="1" xfId="0" applyFill="1" applyBorder="1"/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/>
    <xf numFmtId="0" fontId="3" fillId="0" borderId="0" xfId="0" applyFon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8" fillId="0" borderId="0" xfId="0" applyFont="1" applyAlignment="1">
      <alignment horizontal="center"/>
    </xf>
    <xf numFmtId="0" fontId="8" fillId="0" borderId="0" xfId="0" applyFont="1" applyAlignment="1"/>
    <xf numFmtId="0" fontId="8" fillId="0" borderId="0" xfId="0" applyFont="1"/>
    <xf numFmtId="0" fontId="8" fillId="2" borderId="1" xfId="0" applyFont="1" applyFill="1" applyBorder="1"/>
    <xf numFmtId="0" fontId="8" fillId="2" borderId="0" xfId="0" applyFont="1" applyFill="1"/>
    <xf numFmtId="0" fontId="8" fillId="0" borderId="7" xfId="0" applyFont="1" applyFill="1" applyBorder="1" applyAlignment="1"/>
    <xf numFmtId="0" fontId="8" fillId="0" borderId="0" xfId="0" applyFont="1" applyFill="1" applyBorder="1" applyAlignment="1"/>
    <xf numFmtId="0" fontId="8" fillId="3" borderId="0" xfId="0" applyFont="1" applyFill="1"/>
    <xf numFmtId="0" fontId="7" fillId="0" borderId="0" xfId="0" applyFont="1"/>
    <xf numFmtId="0" fontId="7" fillId="0" borderId="0" xfId="0" applyFont="1" applyAlignment="1"/>
    <xf numFmtId="0" fontId="7" fillId="2" borderId="0" xfId="0" applyFont="1" applyFill="1"/>
    <xf numFmtId="0" fontId="7" fillId="3" borderId="0" xfId="0" applyFont="1" applyFill="1"/>
    <xf numFmtId="0" fontId="7" fillId="2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7" fillId="3" borderId="1" xfId="0" applyFont="1" applyFill="1" applyBorder="1"/>
    <xf numFmtId="0" fontId="7" fillId="2" borderId="1" xfId="0" applyFont="1" applyFill="1" applyBorder="1"/>
    <xf numFmtId="0" fontId="12" fillId="0" borderId="0" xfId="0" applyFont="1"/>
    <xf numFmtId="0" fontId="10" fillId="0" borderId="0" xfId="0" applyFont="1"/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0" fontId="12" fillId="5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8" fillId="0" borderId="0" xfId="0" applyFont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7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P-M</a:t>
            </a:r>
            <a:r>
              <a:rPr lang="en-IN" baseline="0"/>
              <a:t> Curves</a:t>
            </a:r>
            <a:endParaRPr lang="en-IN"/>
          </a:p>
        </c:rich>
      </c:tx>
      <c:layout>
        <c:manualLayout>
          <c:xMode val="edge"/>
          <c:yMode val="edge"/>
          <c:x val="0.41799444044111927"/>
          <c:y val="1.9900437475355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635274266994476E-2"/>
          <c:y val="9.9860696517412958E-2"/>
          <c:w val="0.91666674495663836"/>
          <c:h val="0.7600466956555803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Y!$H$27:$H$41</c:f>
              <c:numCache>
                <c:formatCode>General</c:formatCode>
                <c:ptCount val="15"/>
                <c:pt idx="0">
                  <c:v>2.6731270680549963</c:v>
                </c:pt>
                <c:pt idx="1">
                  <c:v>3.6725390996334877</c:v>
                </c:pt>
                <c:pt idx="2">
                  <c:v>3.6858383755830517</c:v>
                </c:pt>
                <c:pt idx="3">
                  <c:v>3.0241357526973554</c:v>
                </c:pt>
                <c:pt idx="4">
                  <c:v>0.85933892281993685</c:v>
                </c:pt>
                <c:pt idx="5">
                  <c:v>0.63635570093350546</c:v>
                </c:pt>
                <c:pt idx="6">
                  <c:v>0.47431800774493788</c:v>
                </c:pt>
                <c:pt idx="7">
                  <c:v>0.35439180360767247</c:v>
                </c:pt>
                <c:pt idx="8">
                  <c:v>0.26611373316250769</c:v>
                </c:pt>
                <c:pt idx="9">
                  <c:v>0.20320578319392268</c:v>
                </c:pt>
                <c:pt idx="10">
                  <c:v>0.16167285438294993</c:v>
                </c:pt>
                <c:pt idx="11">
                  <c:v>0.13893241243922533</c:v>
                </c:pt>
                <c:pt idx="12">
                  <c:v>0.13309816156736459</c:v>
                </c:pt>
                <c:pt idx="13">
                  <c:v>0.13309816156736459</c:v>
                </c:pt>
                <c:pt idx="14">
                  <c:v>0.13309816156736459</c:v>
                </c:pt>
              </c:numCache>
            </c:numRef>
          </c:xVal>
          <c:yVal>
            <c:numRef>
              <c:f>Y!$I$27:$I$41</c:f>
              <c:numCache>
                <c:formatCode>General</c:formatCode>
                <c:ptCount val="15"/>
                <c:pt idx="0">
                  <c:v>2.369109215646807</c:v>
                </c:pt>
                <c:pt idx="1">
                  <c:v>6.6778351071859898</c:v>
                </c:pt>
                <c:pt idx="2">
                  <c:v>10.992838786567365</c:v>
                </c:pt>
                <c:pt idx="3">
                  <c:v>15.234482045927269</c:v>
                </c:pt>
                <c:pt idx="4">
                  <c:v>22.376486686460012</c:v>
                </c:pt>
                <c:pt idx="5">
                  <c:v>23.336748663669709</c:v>
                </c:pt>
                <c:pt idx="6">
                  <c:v>23.961960203636611</c:v>
                </c:pt>
                <c:pt idx="7">
                  <c:v>24.377765220326758</c:v>
                </c:pt>
                <c:pt idx="8">
                  <c:v>24.65396588816575</c:v>
                </c:pt>
                <c:pt idx="9">
                  <c:v>24.832443511808918</c:v>
                </c:pt>
                <c:pt idx="10">
                  <c:v>24.9398498305824</c:v>
                </c:pt>
                <c:pt idx="11">
                  <c:v>24.993755705263695</c:v>
                </c:pt>
                <c:pt idx="12">
                  <c:v>25.006642512077303</c:v>
                </c:pt>
                <c:pt idx="13">
                  <c:v>25.006642512077303</c:v>
                </c:pt>
                <c:pt idx="14">
                  <c:v>25.006642512077303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C49-4ABA-9F10-085B8114474B}"/>
            </c:ext>
          </c:extLst>
        </c:ser>
        <c:ser>
          <c:idx val="1"/>
          <c:order val="1"/>
          <c:tx>
            <c:v>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tx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Y!$C$43</c:f>
              <c:numCache>
                <c:formatCode>General</c:formatCode>
                <c:ptCount val="1"/>
                <c:pt idx="0">
                  <c:v>3.0864197530864196E-2</c:v>
                </c:pt>
              </c:numCache>
            </c:numRef>
          </c:xVal>
          <c:yVal>
            <c:numRef>
              <c:f>Y!$B$43</c:f>
              <c:numCache>
                <c:formatCode>General</c:formatCode>
                <c:ptCount val="1"/>
                <c:pt idx="0">
                  <c:v>0.88888888888888884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2AD-427A-B130-7316C46F4699}"/>
            </c:ext>
          </c:extLst>
        </c:ser>
        <c:ser>
          <c:idx val="2"/>
          <c:order val="2"/>
          <c:tx>
            <c:v>BALANCED SECTION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Y!$H$43:$H$44</c:f>
              <c:numCache>
                <c:formatCode>General</c:formatCode>
                <c:ptCount val="2"/>
                <c:pt idx="0">
                  <c:v>0</c:v>
                </c:pt>
                <c:pt idx="1">
                  <c:v>4.1858383755830513</c:v>
                </c:pt>
              </c:numCache>
            </c:numRef>
          </c:xVal>
          <c:yVal>
            <c:numRef>
              <c:f>Y!$I$43:$I$44</c:f>
              <c:numCache>
                <c:formatCode>General</c:formatCode>
                <c:ptCount val="2"/>
                <c:pt idx="0">
                  <c:v>9.1409145000032748</c:v>
                </c:pt>
                <c:pt idx="1">
                  <c:v>9.1409145000032748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308000"/>
        <c:axId val="161308544"/>
      </c:scatterChart>
      <c:valAx>
        <c:axId val="16130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08544"/>
        <c:crosses val="autoZero"/>
        <c:crossBetween val="midCat"/>
      </c:valAx>
      <c:valAx>
        <c:axId val="16130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0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aseline="0"/>
              <a:t>P-M  Curve</a:t>
            </a:r>
            <a:endParaRPr lang="en-IN"/>
          </a:p>
        </c:rich>
      </c:tx>
      <c:layout>
        <c:manualLayout>
          <c:xMode val="edge"/>
          <c:yMode val="edge"/>
          <c:x val="0.4016041119860017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136482939632559E-2"/>
          <c:y val="0.12728018372703409"/>
          <c:w val="0.87753018372703417"/>
          <c:h val="0.7208876494604841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Z!$H$27:$H$41</c:f>
              <c:numCache>
                <c:formatCode>General</c:formatCode>
                <c:ptCount val="15"/>
                <c:pt idx="0">
                  <c:v>1.966094414251208</c:v>
                </c:pt>
                <c:pt idx="1">
                  <c:v>2.9675106355676331</c:v>
                </c:pt>
                <c:pt idx="2">
                  <c:v>3.1106605651167469</c:v>
                </c:pt>
                <c:pt idx="3">
                  <c:v>2.8347335711050725</c:v>
                </c:pt>
                <c:pt idx="4">
                  <c:v>0.90058982789855091</c:v>
                </c:pt>
                <c:pt idx="5">
                  <c:v>0.82982898299114349</c:v>
                </c:pt>
                <c:pt idx="6">
                  <c:v>0.77558450332125617</c:v>
                </c:pt>
                <c:pt idx="7">
                  <c:v>0.73756773192179981</c:v>
                </c:pt>
                <c:pt idx="8">
                  <c:v>0.71337665056360733</c:v>
                </c:pt>
                <c:pt idx="9">
                  <c:v>0.70157004830917902</c:v>
                </c:pt>
                <c:pt idx="10">
                  <c:v>0.70157004830917902</c:v>
                </c:pt>
                <c:pt idx="11">
                  <c:v>0.70157004830917902</c:v>
                </c:pt>
                <c:pt idx="12">
                  <c:v>0.70157004830917902</c:v>
                </c:pt>
                <c:pt idx="13">
                  <c:v>0.70157004830917902</c:v>
                </c:pt>
                <c:pt idx="14">
                  <c:v>0.70157004830917902</c:v>
                </c:pt>
              </c:numCache>
            </c:numRef>
          </c:xVal>
          <c:yVal>
            <c:numRef>
              <c:f>Z!$I$27:$I$41</c:f>
              <c:numCache>
                <c:formatCode>General</c:formatCode>
                <c:ptCount val="15"/>
                <c:pt idx="0">
                  <c:v>2.5745409873188407</c:v>
                </c:pt>
                <c:pt idx="1">
                  <c:v>6.5796093750000004</c:v>
                </c:pt>
                <c:pt idx="2">
                  <c:v>11.173119640700483</c:v>
                </c:pt>
                <c:pt idx="3">
                  <c:v>15.469185537439616</c:v>
                </c:pt>
                <c:pt idx="4">
                  <c:v>22.249756642512075</c:v>
                </c:pt>
                <c:pt idx="5">
                  <c:v>22.857768216586152</c:v>
                </c:pt>
                <c:pt idx="6">
                  <c:v>23.209817330917875</c:v>
                </c:pt>
                <c:pt idx="7">
                  <c:v>23.419903192934783</c:v>
                </c:pt>
                <c:pt idx="8">
                  <c:v>23.535346886741813</c:v>
                </c:pt>
                <c:pt idx="9">
                  <c:v>23.584541062801932</c:v>
                </c:pt>
                <c:pt idx="10">
                  <c:v>23.584541062801932</c:v>
                </c:pt>
                <c:pt idx="11">
                  <c:v>23.584541062801932</c:v>
                </c:pt>
                <c:pt idx="12">
                  <c:v>23.584541062801932</c:v>
                </c:pt>
                <c:pt idx="13">
                  <c:v>23.584541062801932</c:v>
                </c:pt>
                <c:pt idx="14">
                  <c:v>23.584541062801932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A0-4F31-8634-B046B4BE9372}"/>
            </c:ext>
          </c:extLst>
        </c:ser>
        <c:ser>
          <c:idx val="1"/>
          <c:order val="1"/>
          <c:tx>
            <c:v>"point"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chemeClr val="tx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Z!$D$43</c:f>
              <c:numCache>
                <c:formatCode>General</c:formatCode>
                <c:ptCount val="1"/>
                <c:pt idx="0">
                  <c:v>0.1111111111111111</c:v>
                </c:pt>
              </c:numCache>
            </c:numRef>
          </c:xVal>
          <c:yVal>
            <c:numRef>
              <c:f>Z!$C$43</c:f>
              <c:numCache>
                <c:formatCode>General</c:formatCode>
                <c:ptCount val="1"/>
                <c:pt idx="0">
                  <c:v>0.88888888888888884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9A0-4F31-8634-B046B4BE9372}"/>
            </c:ext>
          </c:extLst>
        </c:ser>
        <c:ser>
          <c:idx val="2"/>
          <c:order val="2"/>
          <c:tx>
            <c:v>BALANCED SECTION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Z!$H$43:$H$44</c:f>
              <c:numCache>
                <c:formatCode>General</c:formatCode>
                <c:ptCount val="2"/>
                <c:pt idx="0">
                  <c:v>0</c:v>
                </c:pt>
                <c:pt idx="1">
                  <c:v>3.6106605651167469</c:v>
                </c:pt>
              </c:numCache>
            </c:numRef>
          </c:xVal>
          <c:yVal>
            <c:numRef>
              <c:f>Z!$I$43:$I$44</c:f>
              <c:numCache>
                <c:formatCode>General</c:formatCode>
                <c:ptCount val="2"/>
                <c:pt idx="0">
                  <c:v>9.0583748272257854</c:v>
                </c:pt>
                <c:pt idx="1">
                  <c:v>9.0583748272257854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312352"/>
        <c:axId val="161315072"/>
      </c:scatterChart>
      <c:valAx>
        <c:axId val="16131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5072"/>
        <c:crosses val="autoZero"/>
        <c:crossBetween val="midCat"/>
      </c:valAx>
      <c:valAx>
        <c:axId val="16131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104775</xdr:colOff>
      <xdr:row>34</xdr:row>
      <xdr:rowOff>23812</xdr:rowOff>
    </xdr:from>
    <xdr:ext cx="21794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000-000002000000}"/>
                </a:ext>
              </a:extLst>
            </xdr:cNvPr>
            <xdr:cNvSpPr txBox="1"/>
          </xdr:nvSpPr>
          <xdr:spPr>
            <a:xfrm>
              <a:off x="1933575" y="4405312"/>
              <a:ext cx="21794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p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933575" y="4405312"/>
              <a:ext cx="21794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𝑚^2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3</xdr:col>
      <xdr:colOff>57150</xdr:colOff>
      <xdr:row>36</xdr:row>
      <xdr:rowOff>42862</xdr:rowOff>
    </xdr:from>
    <xdr:ext cx="21794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000-000003000000}"/>
                </a:ext>
              </a:extLst>
            </xdr:cNvPr>
            <xdr:cNvSpPr txBox="1"/>
          </xdr:nvSpPr>
          <xdr:spPr>
            <a:xfrm>
              <a:off x="3105150" y="4805362"/>
              <a:ext cx="21794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p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000-000003000000}"/>
                </a:ext>
              </a:extLst>
            </xdr:cNvPr>
            <xdr:cNvSpPr txBox="1"/>
          </xdr:nvSpPr>
          <xdr:spPr>
            <a:xfrm>
              <a:off x="3105150" y="4805362"/>
              <a:ext cx="21794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𝑚^3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12</xdr:col>
      <xdr:colOff>104775</xdr:colOff>
      <xdr:row>5</xdr:row>
      <xdr:rowOff>23812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7419975" y="8905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14</xdr:col>
      <xdr:colOff>38100</xdr:colOff>
      <xdr:row>9</xdr:row>
      <xdr:rowOff>23812</xdr:rowOff>
    </xdr:from>
    <xdr:ext cx="215379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000-000005000000}"/>
                </a:ext>
              </a:extLst>
            </xdr:cNvPr>
            <xdr:cNvSpPr txBox="1"/>
          </xdr:nvSpPr>
          <xdr:spPr>
            <a:xfrm>
              <a:off x="8658225" y="1681162"/>
              <a:ext cx="21537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  <m:sup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71C62389-B62F-4AF0-AEEE-6D237EA11622}"/>
                </a:ext>
              </a:extLst>
            </xdr:cNvPr>
            <xdr:cNvSpPr txBox="1"/>
          </xdr:nvSpPr>
          <xdr:spPr>
            <a:xfrm>
              <a:off x="8658225" y="1681162"/>
              <a:ext cx="21537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𝑚^2</a:t>
              </a:r>
              <a:endParaRPr lang="en-IN" sz="1100"/>
            </a:p>
          </xdr:txBody>
        </xdr:sp>
      </mc:Fallback>
    </mc:AlternateContent>
    <xdr:clientData/>
  </xdr:oneCellAnchor>
  <xdr:twoCellAnchor>
    <xdr:from>
      <xdr:col>10</xdr:col>
      <xdr:colOff>323850</xdr:colOff>
      <xdr:row>11</xdr:row>
      <xdr:rowOff>76200</xdr:rowOff>
    </xdr:from>
    <xdr:to>
      <xdr:col>11</xdr:col>
      <xdr:colOff>333375</xdr:colOff>
      <xdr:row>12</xdr:row>
      <xdr:rowOff>152400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6419850" y="2114550"/>
          <a:ext cx="619125" cy="266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390525</xdr:colOff>
      <xdr:row>12</xdr:row>
      <xdr:rowOff>57150</xdr:rowOff>
    </xdr:from>
    <xdr:to>
      <xdr:col>12</xdr:col>
      <xdr:colOff>190500</xdr:colOff>
      <xdr:row>12</xdr:row>
      <xdr:rowOff>57150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CxnSpPr/>
      </xdr:nvCxnSpPr>
      <xdr:spPr>
        <a:xfrm flipH="1">
          <a:off x="7096125" y="2286000"/>
          <a:ext cx="4953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95250</xdr:colOff>
      <xdr:row>11</xdr:row>
      <xdr:rowOff>66675</xdr:rowOff>
    </xdr:from>
    <xdr:ext cx="258789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/>
      </xdr:nvSpPr>
      <xdr:spPr>
        <a:xfrm>
          <a:off x="6191250" y="2105025"/>
          <a:ext cx="2587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b</a:t>
          </a:r>
        </a:p>
      </xdr:txBody>
    </xdr:sp>
    <xdr:clientData/>
  </xdr:oneCellAnchor>
  <xdr:oneCellAnchor>
    <xdr:from>
      <xdr:col>10</xdr:col>
      <xdr:colOff>533400</xdr:colOff>
      <xdr:row>12</xdr:row>
      <xdr:rowOff>142875</xdr:rowOff>
    </xdr:from>
    <xdr:ext cx="258789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 txBox="1"/>
      </xdr:nvSpPr>
      <xdr:spPr>
        <a:xfrm>
          <a:off x="6629400" y="2371725"/>
          <a:ext cx="2587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d</a:t>
          </a:r>
        </a:p>
      </xdr:txBody>
    </xdr:sp>
    <xdr:clientData/>
  </xdr:oneCellAnchor>
  <xdr:twoCellAnchor>
    <xdr:from>
      <xdr:col>13</xdr:col>
      <xdr:colOff>57150</xdr:colOff>
      <xdr:row>11</xdr:row>
      <xdr:rowOff>28575</xdr:rowOff>
    </xdr:from>
    <xdr:to>
      <xdr:col>13</xdr:col>
      <xdr:colOff>428625</xdr:colOff>
      <xdr:row>13</xdr:row>
      <xdr:rowOff>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8067675" y="2066925"/>
          <a:ext cx="371475" cy="352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542925</xdr:colOff>
      <xdr:row>11</xdr:row>
      <xdr:rowOff>171450</xdr:rowOff>
    </xdr:from>
    <xdr:to>
      <xdr:col>14</xdr:col>
      <xdr:colOff>323850</xdr:colOff>
      <xdr:row>11</xdr:row>
      <xdr:rowOff>180975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CxnSpPr/>
      </xdr:nvCxnSpPr>
      <xdr:spPr>
        <a:xfrm flipH="1">
          <a:off x="8553450" y="2209800"/>
          <a:ext cx="3905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342900</xdr:colOff>
      <xdr:row>17</xdr:row>
      <xdr:rowOff>161925</xdr:rowOff>
    </xdr:from>
    <xdr:ext cx="749186" cy="1801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xmlns="" id="{00000000-0008-0000-0000-00000E000000}"/>
                </a:ext>
              </a:extLst>
            </xdr:cNvPr>
            <xdr:cNvSpPr txBox="1"/>
          </xdr:nvSpPr>
          <xdr:spPr>
            <a:xfrm>
              <a:off x="6772275" y="3343275"/>
              <a:ext cx="749186" cy="180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IN" sz="1100"/>
                <a:t>P=0.52*K </a:t>
              </a:r>
              <a14:m>
                <m:oMath xmlns:m="http://schemas.openxmlformats.org/officeDocument/2006/math">
                  <m:sSup>
                    <m:sSupPr>
                      <m:ctrlPr>
                        <a:rPr lang="en-IN" sz="11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IN" sz="1100" b="0" i="1">
                          <a:latin typeface="Cambria Math" panose="02040503050406030204" pitchFamily="18" charset="0"/>
                        </a:rPr>
                        <m:t>𝑉</m:t>
                      </m:r>
                    </m:e>
                    <m:sup>
                      <m:r>
                        <a:rPr lang="en-IN" sz="1100" b="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</m:oMath>
              </a14:m>
              <a:endParaRPr lang="en-IN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6772275" y="3343275"/>
              <a:ext cx="749186" cy="180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IN" sz="1100"/>
                <a:t>P=0.52*K </a:t>
              </a:r>
              <a:r>
                <a:rPr lang="en-IN" sz="1100" b="0" i="0">
                  <a:latin typeface="Cambria Math" panose="02040503050406030204" pitchFamily="18" charset="0"/>
                </a:rPr>
                <a:t>𝑉^2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14</xdr:col>
      <xdr:colOff>38100</xdr:colOff>
      <xdr:row>10</xdr:row>
      <xdr:rowOff>23812</xdr:rowOff>
    </xdr:from>
    <xdr:ext cx="215379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xmlns="" id="{00000000-0008-0000-0000-00000F000000}"/>
                </a:ext>
              </a:extLst>
            </xdr:cNvPr>
            <xdr:cNvSpPr txBox="1"/>
          </xdr:nvSpPr>
          <xdr:spPr>
            <a:xfrm>
              <a:off x="8763000" y="1871662"/>
              <a:ext cx="21537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  <m:sup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DE3532EA-135A-438C-AE3F-B3DFD51EB343}"/>
                </a:ext>
              </a:extLst>
            </xdr:cNvPr>
            <xdr:cNvSpPr txBox="1"/>
          </xdr:nvSpPr>
          <xdr:spPr>
            <a:xfrm>
              <a:off x="8763000" y="1871662"/>
              <a:ext cx="21537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𝑚^2</a:t>
              </a:r>
              <a:endParaRPr lang="en-IN" sz="1100"/>
            </a:p>
          </xdr:txBody>
        </xdr:sp>
      </mc:Fallback>
    </mc:AlternateContent>
    <xdr:clientData/>
  </xdr:oneCellAnchor>
  <xdr:twoCellAnchor>
    <xdr:from>
      <xdr:col>10</xdr:col>
      <xdr:colOff>567545</xdr:colOff>
      <xdr:row>12</xdr:row>
      <xdr:rowOff>142875</xdr:rowOff>
    </xdr:from>
    <xdr:to>
      <xdr:col>10</xdr:col>
      <xdr:colOff>567545</xdr:colOff>
      <xdr:row>15</xdr:row>
      <xdr:rowOff>26435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CxnSpPr/>
      </xdr:nvCxnSpPr>
      <xdr:spPr>
        <a:xfrm flipV="1">
          <a:off x="6663545" y="2371725"/>
          <a:ext cx="0" cy="2645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253220</xdr:colOff>
      <xdr:row>13</xdr:row>
      <xdr:rowOff>0</xdr:rowOff>
    </xdr:from>
    <xdr:to>
      <xdr:col>13</xdr:col>
      <xdr:colOff>253220</xdr:colOff>
      <xdr:row>15</xdr:row>
      <xdr:rowOff>74060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CxnSpPr/>
      </xdr:nvCxnSpPr>
      <xdr:spPr>
        <a:xfrm flipV="1">
          <a:off x="8368520" y="2419350"/>
          <a:ext cx="0" cy="2645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13</xdr:row>
      <xdr:rowOff>0</xdr:rowOff>
    </xdr:from>
    <xdr:to>
      <xdr:col>11</xdr:col>
      <xdr:colOff>571500</xdr:colOff>
      <xdr:row>15</xdr:row>
      <xdr:rowOff>76200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CxnSpPr/>
      </xdr:nvCxnSpPr>
      <xdr:spPr>
        <a:xfrm flipH="1" flipV="1">
          <a:off x="7048500" y="2419350"/>
          <a:ext cx="228600" cy="266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438150</xdr:colOff>
      <xdr:row>12</xdr:row>
      <xdr:rowOff>76200</xdr:rowOff>
    </xdr:from>
    <xdr:to>
      <xdr:col>14</xdr:col>
      <xdr:colOff>57150</xdr:colOff>
      <xdr:row>13</xdr:row>
      <xdr:rowOff>152400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CxnSpPr/>
      </xdr:nvCxnSpPr>
      <xdr:spPr>
        <a:xfrm flipH="1" flipV="1">
          <a:off x="8553450" y="2305050"/>
          <a:ext cx="228600" cy="266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219074</xdr:colOff>
      <xdr:row>12</xdr:row>
      <xdr:rowOff>28574</xdr:rowOff>
    </xdr:from>
    <xdr:to>
      <xdr:col>11</xdr:col>
      <xdr:colOff>590549</xdr:colOff>
      <xdr:row>13</xdr:row>
      <xdr:rowOff>171449</xdr:rowOff>
    </xdr:to>
    <xdr:sp macro="" textlink="">
      <xdr:nvSpPr>
        <xdr:cNvPr id="26" name="Arc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 rot="3319095">
          <a:off x="6943724" y="2238374"/>
          <a:ext cx="333375" cy="371475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323849</xdr:colOff>
      <xdr:row>11</xdr:row>
      <xdr:rowOff>142875</xdr:rowOff>
    </xdr:from>
    <xdr:to>
      <xdr:col>14</xdr:col>
      <xdr:colOff>85724</xdr:colOff>
      <xdr:row>13</xdr:row>
      <xdr:rowOff>95250</xdr:rowOff>
    </xdr:to>
    <xdr:sp macro="" textlink="">
      <xdr:nvSpPr>
        <xdr:cNvPr id="27" name="Arc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 rot="3319095">
          <a:off x="8458199" y="2162175"/>
          <a:ext cx="333375" cy="371475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11</xdr:col>
      <xdr:colOff>628650</xdr:colOff>
      <xdr:row>12</xdr:row>
      <xdr:rowOff>90487</xdr:rowOff>
    </xdr:from>
    <xdr:ext cx="1153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xmlns="" id="{00000000-0008-0000-0000-00001C000000}"/>
                </a:ext>
              </a:extLst>
            </xdr:cNvPr>
            <xdr:cNvSpPr txBox="1"/>
          </xdr:nvSpPr>
          <xdr:spPr>
            <a:xfrm>
              <a:off x="7334250" y="2319337"/>
              <a:ext cx="115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N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D82778C2-E0B8-4D79-8722-3B9A082C69BC}"/>
                </a:ext>
              </a:extLst>
            </xdr:cNvPr>
            <xdr:cNvSpPr txBox="1"/>
          </xdr:nvSpPr>
          <xdr:spPr>
            <a:xfrm>
              <a:off x="7334250" y="2319337"/>
              <a:ext cx="115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14</xdr:col>
      <xdr:colOff>47625</xdr:colOff>
      <xdr:row>12</xdr:row>
      <xdr:rowOff>80962</xdr:rowOff>
    </xdr:from>
    <xdr:ext cx="219034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xmlns="" id="{00000000-0008-0000-0000-00001D000000}"/>
                </a:ext>
              </a:extLst>
            </xdr:cNvPr>
            <xdr:cNvSpPr txBox="1"/>
          </xdr:nvSpPr>
          <xdr:spPr>
            <a:xfrm>
              <a:off x="8772525" y="2309812"/>
              <a:ext cx="219034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N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𝜃</m:t>
                    </m:r>
                  </m:oMath>
                </m:oMathPara>
              </a14:m>
              <a:endParaRPr lang="en-IN">
                <a:effectLst/>
              </a:endParaRPr>
            </a:p>
            <a:p>
              <a:endParaRPr lang="en-IN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120A3731-99E3-4319-B2A0-4FA47FDB958F}"/>
                </a:ext>
              </a:extLst>
            </xdr:cNvPr>
            <xdr:cNvSpPr txBox="1"/>
          </xdr:nvSpPr>
          <xdr:spPr>
            <a:xfrm>
              <a:off x="8772525" y="2309812"/>
              <a:ext cx="219034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𝜃</a:t>
              </a:r>
              <a:endParaRPr lang="en-IN">
                <a:effectLst/>
              </a:endParaRPr>
            </a:p>
            <a:p>
              <a:endParaRPr lang="en-IN" sz="1100"/>
            </a:p>
          </xdr:txBody>
        </xdr:sp>
      </mc:Fallback>
    </mc:AlternateContent>
    <xdr:clientData/>
  </xdr:oneCellAnchor>
  <xdr:oneCellAnchor>
    <xdr:from>
      <xdr:col>1</xdr:col>
      <xdr:colOff>28575</xdr:colOff>
      <xdr:row>49</xdr:row>
      <xdr:rowOff>109537</xdr:rowOff>
    </xdr:from>
    <xdr:ext cx="15621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xmlns="" id="{00000000-0008-0000-0000-00001E000000}"/>
                </a:ext>
              </a:extLst>
            </xdr:cNvPr>
            <xdr:cNvSpPr txBox="1"/>
          </xdr:nvSpPr>
          <xdr:spPr>
            <a:xfrm>
              <a:off x="6124575" y="9196387"/>
              <a:ext cx="15621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1100" b="0" i="1">
                          <a:latin typeface="Cambria Math" panose="02040503050406030204" pitchFamily="18" charset="0"/>
                        </a:rPr>
                        <m:t>𝐹</m:t>
                      </m:r>
                    </m:e>
                    <m:sub>
                      <m:r>
                        <a:rPr lang="en-IN" sz="1100" b="0" i="1">
                          <a:latin typeface="Cambria Math" panose="02040503050406030204" pitchFamily="18" charset="0"/>
                        </a:rPr>
                        <m:t>𝑇</m:t>
                      </m:r>
                    </m:sub>
                  </m:sSub>
                </m:oMath>
              </a14:m>
              <a:r>
                <a:rPr lang="en-IN" sz="1100"/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1100" b="0" i="1">
                          <a:latin typeface="Cambria Math" panose="02040503050406030204" pitchFamily="18" charset="0"/>
                        </a:rPr>
                        <m:t>𝑃</m:t>
                      </m:r>
                    </m:e>
                    <m:sub>
                      <m:r>
                        <a:rPr lang="en-IN" sz="1100" b="0" i="1">
                          <a:latin typeface="Cambria Math" panose="02040503050406030204" pitchFamily="18" charset="0"/>
                        </a:rPr>
                        <m:t>𝑍</m:t>
                      </m:r>
                    </m:sub>
                  </m:sSub>
                  <m:sSub>
                    <m:sSubPr>
                      <m:ctrlPr>
                        <a:rPr lang="en-IN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1100" b="0" i="1">
                          <a:latin typeface="Cambria Math" panose="02040503050406030204" pitchFamily="18" charset="0"/>
                        </a:rPr>
                        <m:t>𝐴</m:t>
                      </m:r>
                    </m:e>
                    <m:sub>
                      <m:r>
                        <a:rPr lang="en-IN" sz="11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sSub>
                    <m:sSubPr>
                      <m:ctrlPr>
                        <a:rPr lang="en-IN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IN" sz="1100" b="0" i="1">
                          <a:latin typeface="Cambria Math" panose="02040503050406030204" pitchFamily="18" charset="0"/>
                        </a:rPr>
                        <m:t>𝐶</m:t>
                      </m:r>
                    </m:e>
                    <m:sub>
                      <m:r>
                        <a:rPr lang="en-IN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</m:oMath>
              </a14:m>
              <a:r>
                <a:rPr lang="en-IN" sz="1100"/>
                <a:t>G</a:t>
              </a:r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6124575" y="9196387"/>
              <a:ext cx="15621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IN" sz="1100" b="0" i="0">
                  <a:latin typeface="Cambria Math" panose="02040503050406030204" pitchFamily="18" charset="0"/>
                </a:rPr>
                <a:t>𝐹_𝑇</a:t>
              </a:r>
              <a:r>
                <a:rPr lang="en-IN" sz="1100"/>
                <a:t>=</a:t>
              </a:r>
              <a:r>
                <a:rPr lang="en-IN" sz="1100" b="0" i="0">
                  <a:latin typeface="Cambria Math" panose="02040503050406030204" pitchFamily="18" charset="0"/>
                </a:rPr>
                <a:t>𝑃_𝑍 𝐴_1 𝐶_𝐷</a:t>
              </a:r>
              <a:r>
                <a:rPr lang="en-IN" sz="1100"/>
                <a:t>G</a:t>
              </a:r>
            </a:p>
          </xdr:txBody>
        </xdr:sp>
      </mc:Fallback>
    </mc:AlternateContent>
    <xdr:clientData/>
  </xdr:oneCellAnchor>
  <xdr:twoCellAnchor editAs="oneCell">
    <xdr:from>
      <xdr:col>0</xdr:col>
      <xdr:colOff>66675</xdr:colOff>
      <xdr:row>52</xdr:row>
      <xdr:rowOff>114301</xdr:rowOff>
    </xdr:from>
    <xdr:to>
      <xdr:col>6</xdr:col>
      <xdr:colOff>132033</xdr:colOff>
      <xdr:row>62</xdr:row>
      <xdr:rowOff>184149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10153651"/>
          <a:ext cx="4818333" cy="21335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38101</xdr:rowOff>
    </xdr:from>
    <xdr:to>
      <xdr:col>7</xdr:col>
      <xdr:colOff>92075</xdr:colOff>
      <xdr:row>85</xdr:row>
      <xdr:rowOff>79375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3887451"/>
          <a:ext cx="5448300" cy="27241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57151</xdr:rowOff>
    </xdr:from>
    <xdr:to>
      <xdr:col>7</xdr:col>
      <xdr:colOff>82550</xdr:colOff>
      <xdr:row>92</xdr:row>
      <xdr:rowOff>57782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6573501"/>
          <a:ext cx="5438775" cy="1238882"/>
        </a:xfrm>
        <a:prstGeom prst="rect">
          <a:avLst/>
        </a:prstGeom>
      </xdr:spPr>
    </xdr:pic>
    <xdr:clientData/>
  </xdr:twoCellAnchor>
  <xdr:oneCellAnchor>
    <xdr:from>
      <xdr:col>1</xdr:col>
      <xdr:colOff>304800</xdr:colOff>
      <xdr:row>93</xdr:row>
      <xdr:rowOff>14287</xdr:rowOff>
    </xdr:from>
    <xdr:ext cx="1797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xmlns="" id="{00000000-0008-0000-0000-000022000000}"/>
                </a:ext>
              </a:extLst>
            </xdr:cNvPr>
            <xdr:cNvSpPr txBox="1"/>
          </xdr:nvSpPr>
          <xdr:spPr>
            <a:xfrm>
              <a:off x="914400" y="17483137"/>
              <a:ext cx="1797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 txBox="1"/>
          </xdr:nvSpPr>
          <xdr:spPr>
            <a:xfrm>
              <a:off x="914400" y="17483137"/>
              <a:ext cx="1797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𝐹_𝑇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9</xdr:col>
      <xdr:colOff>304800</xdr:colOff>
      <xdr:row>68</xdr:row>
      <xdr:rowOff>33337</xdr:rowOff>
    </xdr:from>
    <xdr:ext cx="27403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xmlns="" id="{00000000-0008-0000-0000-000007000000}"/>
                </a:ext>
              </a:extLst>
            </xdr:cNvPr>
            <xdr:cNvSpPr txBox="1"/>
          </xdr:nvSpPr>
          <xdr:spPr>
            <a:xfrm>
              <a:off x="5791200" y="12930187"/>
              <a:ext cx="27403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N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𝐹</m:t>
                    </m:r>
                    <m:r>
                      <a:rPr lang="en-IN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e>
                      <m:sub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sub>
                    </m:sSub>
                    <m:d>
                      <m:d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𝑑𝑒𝑎𝑑</m:t>
                        </m:r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𝑙𝑜𝑎𝑑</m:t>
                        </m:r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𝑎𝑝𝑝𝑟𝑜𝑝𝑟𝑖𝑎𝑡𝑒</m:t>
                        </m:r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𝑙𝑖𝑣𝑒</m:t>
                        </m:r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𝑙𝑜𝑎𝑑</m:t>
                        </m:r>
                      </m:e>
                    </m:d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2BE73A3-23D1-4275-8945-E2863560DC37}"/>
                </a:ext>
              </a:extLst>
            </xdr:cNvPr>
            <xdr:cNvSpPr txBox="1"/>
          </xdr:nvSpPr>
          <xdr:spPr>
            <a:xfrm>
              <a:off x="5791200" y="12930187"/>
              <a:ext cx="27403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𝐹=𝐴_ℎ (𝑑𝑒𝑎𝑑 𝑙𝑜𝑎𝑑+𝑎𝑝𝑝𝑟𝑜𝑝𝑟𝑖𝑎𝑡𝑒 𝑙𝑖𝑣𝑒 𝑙𝑜𝑎𝑑)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9</xdr:col>
      <xdr:colOff>733425</xdr:colOff>
      <xdr:row>69</xdr:row>
      <xdr:rowOff>52387</xdr:rowOff>
    </xdr:from>
    <xdr:ext cx="787267" cy="3476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xmlns="" id="{00000000-0008-0000-0000-00000C000000}"/>
                </a:ext>
              </a:extLst>
            </xdr:cNvPr>
            <xdr:cNvSpPr txBox="1"/>
          </xdr:nvSpPr>
          <xdr:spPr>
            <a:xfrm>
              <a:off x="6219825" y="13139737"/>
              <a:ext cx="787267" cy="347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e>
                      <m:sub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sub>
                    </m:sSub>
                    <m:r>
                      <a:rPr lang="en-IN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𝑍</m:t>
                        </m:r>
                      </m:num>
                      <m:den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m:rPr>
                        <m:nor/>
                      </m:rPr>
                      <a:rPr lang="en-IN" sz="11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num>
                      <m:den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den>
                    </m:f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IN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IN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IN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</m:sub>
                        </m:sSub>
                      </m:num>
                      <m:den>
                        <m: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3B700BC9-61BA-43B4-8CDB-4D2C53A0057F}"/>
                </a:ext>
              </a:extLst>
            </xdr:cNvPr>
            <xdr:cNvSpPr txBox="1"/>
          </xdr:nvSpPr>
          <xdr:spPr>
            <a:xfrm>
              <a:off x="6219825" y="13139737"/>
              <a:ext cx="787267" cy="347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𝐴_ℎ=𝑍/2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 𝐼/𝑅  𝑆_𝑎/𝑔</a:t>
              </a:r>
              <a:endParaRPr lang="en-IN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13</xdr:row>
      <xdr:rowOff>142875</xdr:rowOff>
    </xdr:from>
    <xdr:to>
      <xdr:col>0</xdr:col>
      <xdr:colOff>1428600</xdr:colOff>
      <xdr:row>23</xdr:row>
      <xdr:rowOff>9304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619375"/>
          <a:ext cx="1200000" cy="1771429"/>
        </a:xfrm>
        <a:prstGeom prst="rect">
          <a:avLst/>
        </a:prstGeom>
      </xdr:spPr>
    </xdr:pic>
    <xdr:clientData/>
  </xdr:twoCellAnchor>
  <xdr:twoCellAnchor>
    <xdr:from>
      <xdr:col>0</xdr:col>
      <xdr:colOff>619125</xdr:colOff>
      <xdr:row>13</xdr:row>
      <xdr:rowOff>76200</xdr:rowOff>
    </xdr:from>
    <xdr:to>
      <xdr:col>0</xdr:col>
      <xdr:colOff>1047750</xdr:colOff>
      <xdr:row>13</xdr:row>
      <xdr:rowOff>85725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CxnSpPr/>
      </xdr:nvCxnSpPr>
      <xdr:spPr>
        <a:xfrm>
          <a:off x="619125" y="2552700"/>
          <a:ext cx="428625" cy="95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1495425</xdr:colOff>
      <xdr:row>14</xdr:row>
      <xdr:rowOff>85725</xdr:rowOff>
    </xdr:from>
    <xdr:to>
      <xdr:col>0</xdr:col>
      <xdr:colOff>1504950</xdr:colOff>
      <xdr:row>22</xdr:row>
      <xdr:rowOff>57150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/>
      </xdr:nvCxnSpPr>
      <xdr:spPr>
        <a:xfrm>
          <a:off x="1495425" y="2752725"/>
          <a:ext cx="9525" cy="14954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762000</xdr:colOff>
      <xdr:row>12</xdr:row>
      <xdr:rowOff>52387</xdr:rowOff>
    </xdr:from>
    <xdr:ext cx="1936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xmlns="" id="{00000000-0008-0000-0200-000019000000}"/>
                </a:ext>
              </a:extLst>
            </xdr:cNvPr>
            <xdr:cNvSpPr txBox="1"/>
          </xdr:nvSpPr>
          <xdr:spPr>
            <a:xfrm>
              <a:off x="762000" y="2338387"/>
              <a:ext cx="1936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7B766B08-CC2C-4582-BB5E-79EC4D2EDC1A}"/>
                </a:ext>
              </a:extLst>
            </xdr:cNvPr>
            <xdr:cNvSpPr txBox="1"/>
          </xdr:nvSpPr>
          <xdr:spPr>
            <a:xfrm>
              <a:off x="762000" y="2338387"/>
              <a:ext cx="1936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latin typeface="Cambria Math" panose="02040503050406030204" pitchFamily="18" charset="0"/>
                </a:rPr>
                <a:t>𝑁_𝑏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</xdr:col>
      <xdr:colOff>28575</xdr:colOff>
      <xdr:row>17</xdr:row>
      <xdr:rowOff>176212</xdr:rowOff>
    </xdr:from>
    <xdr:ext cx="1983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xmlns="" id="{00000000-0008-0000-0200-00001B000000}"/>
                </a:ext>
              </a:extLst>
            </xdr:cNvPr>
            <xdr:cNvSpPr txBox="1"/>
          </xdr:nvSpPr>
          <xdr:spPr>
            <a:xfrm>
              <a:off x="1581150" y="3414712"/>
              <a:ext cx="1983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96FD8276-5920-458E-8510-E3C3638C114D}"/>
                </a:ext>
              </a:extLst>
            </xdr:cNvPr>
            <xdr:cNvSpPr txBox="1"/>
          </xdr:nvSpPr>
          <xdr:spPr>
            <a:xfrm>
              <a:off x="1581150" y="3414712"/>
              <a:ext cx="1983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𝑁_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2</xdr:col>
      <xdr:colOff>180975</xdr:colOff>
      <xdr:row>16</xdr:row>
      <xdr:rowOff>23812</xdr:rowOff>
    </xdr:from>
    <xdr:ext cx="1983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xmlns="" id="{00000000-0008-0000-0200-00001C000000}"/>
                </a:ext>
              </a:extLst>
            </xdr:cNvPr>
            <xdr:cNvSpPr txBox="1"/>
          </xdr:nvSpPr>
          <xdr:spPr>
            <a:xfrm>
              <a:off x="2343150" y="3071812"/>
              <a:ext cx="1983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7174F2A1-A30D-4E09-8319-9473B0E4F427}"/>
                </a:ext>
              </a:extLst>
            </xdr:cNvPr>
            <xdr:cNvSpPr txBox="1"/>
          </xdr:nvSpPr>
          <xdr:spPr>
            <a:xfrm>
              <a:off x="2343150" y="3071812"/>
              <a:ext cx="1983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𝑁_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2</xdr:col>
      <xdr:colOff>180975</xdr:colOff>
      <xdr:row>15</xdr:row>
      <xdr:rowOff>14287</xdr:rowOff>
    </xdr:from>
    <xdr:ext cx="1936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xmlns="" id="{00000000-0008-0000-0200-00001D000000}"/>
                </a:ext>
              </a:extLst>
            </xdr:cNvPr>
            <xdr:cNvSpPr txBox="1"/>
          </xdr:nvSpPr>
          <xdr:spPr>
            <a:xfrm>
              <a:off x="2343150" y="2871787"/>
              <a:ext cx="1936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6CCDE8FA-C657-4E27-AA43-F6F9D8B26B8D}"/>
                </a:ext>
              </a:extLst>
            </xdr:cNvPr>
            <xdr:cNvSpPr txBox="1"/>
          </xdr:nvSpPr>
          <xdr:spPr>
            <a:xfrm>
              <a:off x="2343150" y="2871787"/>
              <a:ext cx="1936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𝑁_𝑏</a:t>
              </a:r>
              <a:endParaRPr lang="en-IN" sz="1100"/>
            </a:p>
          </xdr:txBody>
        </xdr:sp>
      </mc:Fallback>
    </mc:AlternateContent>
    <xdr:clientData/>
  </xdr:oneCellAnchor>
  <xdr:twoCellAnchor>
    <xdr:from>
      <xdr:col>0</xdr:col>
      <xdr:colOff>838200</xdr:colOff>
      <xdr:row>11</xdr:row>
      <xdr:rowOff>114300</xdr:rowOff>
    </xdr:from>
    <xdr:to>
      <xdr:col>0</xdr:col>
      <xdr:colOff>847725</xdr:colOff>
      <xdr:row>19</xdr:row>
      <xdr:rowOff>85725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CxnSpPr/>
      </xdr:nvCxnSpPr>
      <xdr:spPr>
        <a:xfrm flipV="1">
          <a:off x="838200" y="2209800"/>
          <a:ext cx="9525" cy="14954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676275</xdr:colOff>
      <xdr:row>18</xdr:row>
      <xdr:rowOff>66675</xdr:rowOff>
    </xdr:from>
    <xdr:to>
      <xdr:col>1</xdr:col>
      <xdr:colOff>28575</xdr:colOff>
      <xdr:row>18</xdr:row>
      <xdr:rowOff>71826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CxnSpPr>
          <a:endCxn id="27" idx="1"/>
        </xdr:cNvCxnSpPr>
      </xdr:nvCxnSpPr>
      <xdr:spPr>
        <a:xfrm>
          <a:off x="676275" y="3495675"/>
          <a:ext cx="904875" cy="515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0</xdr:col>
      <xdr:colOff>942975</xdr:colOff>
      <xdr:row>18</xdr:row>
      <xdr:rowOff>19050</xdr:rowOff>
    </xdr:from>
    <xdr:ext cx="253403" cy="26456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SpPr txBox="1"/>
      </xdr:nvSpPr>
      <xdr:spPr>
        <a:xfrm>
          <a:off x="942975" y="3448050"/>
          <a:ext cx="253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Y</a:t>
          </a:r>
        </a:p>
      </xdr:txBody>
    </xdr:sp>
    <xdr:clientData/>
  </xdr:oneCellAnchor>
  <xdr:oneCellAnchor>
    <xdr:from>
      <xdr:col>0</xdr:col>
      <xdr:colOff>619125</xdr:colOff>
      <xdr:row>15</xdr:row>
      <xdr:rowOff>180975</xdr:rowOff>
    </xdr:from>
    <xdr:ext cx="250710" cy="264560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SpPr txBox="1"/>
      </xdr:nvSpPr>
      <xdr:spPr>
        <a:xfrm>
          <a:off x="619125" y="3038475"/>
          <a:ext cx="25071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Z</a:t>
          </a:r>
        </a:p>
      </xdr:txBody>
    </xdr:sp>
    <xdr:clientData/>
  </xdr:oneCellAnchor>
  <xdr:oneCellAnchor>
    <xdr:from>
      <xdr:col>0</xdr:col>
      <xdr:colOff>619125</xdr:colOff>
      <xdr:row>25</xdr:row>
      <xdr:rowOff>4762</xdr:rowOff>
    </xdr:from>
    <xdr:ext cx="178447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xmlns="" id="{00000000-0008-0000-0200-000026000000}"/>
                </a:ext>
              </a:extLst>
            </xdr:cNvPr>
            <xdr:cNvSpPr txBox="1"/>
          </xdr:nvSpPr>
          <xdr:spPr>
            <a:xfrm>
              <a:off x="619125" y="4767262"/>
              <a:ext cx="178447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𝜆</m:t>
                        </m:r>
                      </m:e>
                      <m:sub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C33EB38D-5374-4E8F-BEE8-9213B0D552E8}"/>
                </a:ext>
              </a:extLst>
            </xdr:cNvPr>
            <xdr:cNvSpPr txBox="1"/>
          </xdr:nvSpPr>
          <xdr:spPr>
            <a:xfrm>
              <a:off x="619125" y="4767262"/>
              <a:ext cx="178447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𝜆_</a:t>
              </a:r>
              <a:r>
                <a:rPr lang="en-IN" sz="1100" b="0" i="0">
                  <a:latin typeface="Cambria Math" panose="02040503050406030204" pitchFamily="18" charset="0"/>
                </a:rPr>
                <a:t>𝑦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0</xdr:col>
      <xdr:colOff>600075</xdr:colOff>
      <xdr:row>26</xdr:row>
      <xdr:rowOff>14287</xdr:rowOff>
    </xdr:from>
    <xdr:ext cx="16748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xmlns="" id="{00000000-0008-0000-0200-000027000000}"/>
                </a:ext>
              </a:extLst>
            </xdr:cNvPr>
            <xdr:cNvSpPr txBox="1"/>
          </xdr:nvSpPr>
          <xdr:spPr>
            <a:xfrm>
              <a:off x="600075" y="4967287"/>
              <a:ext cx="1674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𝜆</m:t>
                        </m:r>
                      </m:e>
                      <m:sub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B81A0007-9AA3-42E2-BACD-5CDAEE5A3D21}"/>
                </a:ext>
              </a:extLst>
            </xdr:cNvPr>
            <xdr:cNvSpPr txBox="1"/>
          </xdr:nvSpPr>
          <xdr:spPr>
            <a:xfrm>
              <a:off x="600075" y="4967287"/>
              <a:ext cx="1674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𝜆_</a:t>
              </a:r>
              <a:r>
                <a:rPr lang="en-IN" sz="1100" b="0" i="0">
                  <a:latin typeface="Cambria Math" panose="02040503050406030204" pitchFamily="18" charset="0"/>
                </a:rPr>
                <a:t>𝑧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0</xdr:col>
      <xdr:colOff>723900</xdr:colOff>
      <xdr:row>27</xdr:row>
      <xdr:rowOff>23812</xdr:rowOff>
    </xdr:from>
    <xdr:ext cx="178447" cy="3536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xmlns="" id="{00000000-0008-0000-0200-000028000000}"/>
                </a:ext>
              </a:extLst>
            </xdr:cNvPr>
            <xdr:cNvSpPr txBox="1"/>
          </xdr:nvSpPr>
          <xdr:spPr>
            <a:xfrm>
              <a:off x="723900" y="5167312"/>
              <a:ext cx="178447" cy="3536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IN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IN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𝜆</m:t>
                            </m:r>
                          </m:e>
                          <m:sub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IN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IN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𝜆</m:t>
                            </m:r>
                          </m:e>
                          <m:sub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25AA3010-1B1F-4927-ABF5-EF42257B8A1A}"/>
                </a:ext>
              </a:extLst>
            </xdr:cNvPr>
            <xdr:cNvSpPr txBox="1"/>
          </xdr:nvSpPr>
          <xdr:spPr>
            <a:xfrm>
              <a:off x="723900" y="5167312"/>
              <a:ext cx="178447" cy="3536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𝜆_</a:t>
              </a:r>
              <a:r>
                <a:rPr lang="en-IN" sz="1100" b="0" i="0">
                  <a:latin typeface="Cambria Math" panose="02040503050406030204" pitchFamily="18" charset="0"/>
                </a:rPr>
                <a:t>𝑦/</a:t>
              </a:r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𝜆_</a:t>
              </a:r>
              <a:r>
                <a:rPr lang="en-IN" sz="1100" b="0" i="0">
                  <a:latin typeface="Cambria Math" panose="02040503050406030204" pitchFamily="18" charset="0"/>
                </a:rPr>
                <a:t>𝑧 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0</xdr:col>
      <xdr:colOff>714375</xdr:colOff>
      <xdr:row>29</xdr:row>
      <xdr:rowOff>42862</xdr:rowOff>
    </xdr:from>
    <xdr:ext cx="178447" cy="3689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xmlns="" id="{00000000-0008-0000-0200-000029000000}"/>
                </a:ext>
              </a:extLst>
            </xdr:cNvPr>
            <xdr:cNvSpPr txBox="1"/>
          </xdr:nvSpPr>
          <xdr:spPr>
            <a:xfrm>
              <a:off x="714375" y="5567362"/>
              <a:ext cx="178447" cy="3689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IN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IN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𝜆</m:t>
                            </m:r>
                          </m:e>
                          <m:sub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IN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IN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𝜆</m:t>
                            </m:r>
                          </m:e>
                          <m:sub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DF7518E4-7749-4AC8-83D4-A15C111C8E61}"/>
                </a:ext>
              </a:extLst>
            </xdr:cNvPr>
            <xdr:cNvSpPr txBox="1"/>
          </xdr:nvSpPr>
          <xdr:spPr>
            <a:xfrm>
              <a:off x="714375" y="5567362"/>
              <a:ext cx="178447" cy="3689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𝜆_</a:t>
              </a:r>
              <a:r>
                <a:rPr lang="en-IN" sz="1100" b="0" i="0">
                  <a:latin typeface="Cambria Math" panose="02040503050406030204" pitchFamily="18" charset="0"/>
                </a:rPr>
                <a:t>𝑧/</a:t>
              </a:r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𝜆_</a:t>
              </a:r>
              <a:r>
                <a:rPr lang="en-IN" sz="1100" b="0" i="0">
                  <a:latin typeface="Cambria Math" panose="02040503050406030204" pitchFamily="18" charset="0"/>
                </a:rPr>
                <a:t>𝑦 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4</xdr:col>
      <xdr:colOff>228600</xdr:colOff>
      <xdr:row>25</xdr:row>
      <xdr:rowOff>14287</xdr:rowOff>
    </xdr:from>
    <xdr:ext cx="171265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xmlns="" id="{00000000-0008-0000-0200-00002A000000}"/>
                </a:ext>
              </a:extLst>
            </xdr:cNvPr>
            <xdr:cNvSpPr txBox="1"/>
          </xdr:nvSpPr>
          <xdr:spPr>
            <a:xfrm>
              <a:off x="3609975" y="4776787"/>
              <a:ext cx="171265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87257F37-4032-4C13-9191-41947C8E176B}"/>
                </a:ext>
              </a:extLst>
            </xdr:cNvPr>
            <xdr:cNvSpPr txBox="1"/>
          </xdr:nvSpPr>
          <xdr:spPr>
            <a:xfrm>
              <a:off x="3609975" y="4776787"/>
              <a:ext cx="171265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latin typeface="Cambria Math" panose="02040503050406030204" pitchFamily="18" charset="0"/>
                </a:rPr>
                <a:t>𝑒_𝑦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4</xdr:col>
      <xdr:colOff>219075</xdr:colOff>
      <xdr:row>25</xdr:row>
      <xdr:rowOff>185737</xdr:rowOff>
    </xdr:from>
    <xdr:ext cx="1603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xmlns="" id="{00000000-0008-0000-0200-00002C000000}"/>
                </a:ext>
              </a:extLst>
            </xdr:cNvPr>
            <xdr:cNvSpPr txBox="1"/>
          </xdr:nvSpPr>
          <xdr:spPr>
            <a:xfrm>
              <a:off x="3600450" y="4948237"/>
              <a:ext cx="1603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809B5B36-F7AB-4900-AC80-FB5513FF8384}"/>
                </a:ext>
              </a:extLst>
            </xdr:cNvPr>
            <xdr:cNvSpPr txBox="1"/>
          </xdr:nvSpPr>
          <xdr:spPr>
            <a:xfrm>
              <a:off x="3600450" y="4948237"/>
              <a:ext cx="1603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latin typeface="Cambria Math" panose="02040503050406030204" pitchFamily="18" charset="0"/>
                </a:rPr>
                <a:t>𝑒_𝑧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4</xdr:col>
      <xdr:colOff>247650</xdr:colOff>
      <xdr:row>27</xdr:row>
      <xdr:rowOff>42862</xdr:rowOff>
    </xdr:from>
    <xdr:ext cx="65" cy="172227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xmlns="" id="{00000000-0008-0000-0200-00002D000000}"/>
            </a:ext>
          </a:extLst>
        </xdr:cNvPr>
        <xdr:cNvSpPr txBox="1"/>
      </xdr:nvSpPr>
      <xdr:spPr>
        <a:xfrm>
          <a:off x="3629025" y="51863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4</xdr:col>
      <xdr:colOff>171450</xdr:colOff>
      <xdr:row>27</xdr:row>
      <xdr:rowOff>23812</xdr:rowOff>
    </xdr:from>
    <xdr:ext cx="355995" cy="50552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xmlns="" id="{00000000-0008-0000-0200-00002E000000}"/>
                </a:ext>
              </a:extLst>
            </xdr:cNvPr>
            <xdr:cNvSpPr txBox="1"/>
          </xdr:nvSpPr>
          <xdr:spPr>
            <a:xfrm>
              <a:off x="3552825" y="5167312"/>
              <a:ext cx="355995" cy="5055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skw"/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IN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IN" sz="11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IN" sz="11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b>
                                <m:r>
                                  <a:rPr lang="en-IN" sz="1100" b="0" i="1"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sub>
                            </m:sSub>
                          </m:num>
                          <m:den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den>
                        </m:f>
                      </m:num>
                      <m:den>
                        <m:f>
                          <m:fPr>
                            <m:ctrlPr>
                              <a:rPr lang="en-IN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IN" sz="11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IN" sz="11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b>
                                <m:r>
                                  <a:rPr lang="en-IN" sz="1100" b="0" i="1">
                                    <a:latin typeface="Cambria Math" panose="02040503050406030204" pitchFamily="18" charset="0"/>
                                  </a:rPr>
                                  <m:t>𝑧</m:t>
                                </m:r>
                              </m:sub>
                            </m:sSub>
                          </m:num>
                          <m:den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den>
                        </m:f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63C32C5C-FDFA-4BC5-84C5-6A1E0D43B58C}"/>
                </a:ext>
              </a:extLst>
            </xdr:cNvPr>
            <xdr:cNvSpPr txBox="1"/>
          </xdr:nvSpPr>
          <xdr:spPr>
            <a:xfrm>
              <a:off x="3552825" y="5167312"/>
              <a:ext cx="355995" cy="5055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latin typeface="Cambria Math" panose="02040503050406030204" pitchFamily="18" charset="0"/>
                </a:rPr>
                <a:t>(</a:t>
              </a:r>
              <a:r>
                <a:rPr lang="en-IN" sz="1100" b="0" i="0">
                  <a:latin typeface="Cambria Math" panose="02040503050406030204" pitchFamily="18" charset="0"/>
                </a:rPr>
                <a:t>𝑒_𝑦/𝑑)⁄(𝑒_𝑧/𝑏)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4</xdr:col>
      <xdr:colOff>161925</xdr:colOff>
      <xdr:row>29</xdr:row>
      <xdr:rowOff>80962</xdr:rowOff>
    </xdr:from>
    <xdr:ext cx="354776" cy="50552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xmlns="" id="{00000000-0008-0000-0200-00002F000000}"/>
                </a:ext>
              </a:extLst>
            </xdr:cNvPr>
            <xdr:cNvSpPr txBox="1"/>
          </xdr:nvSpPr>
          <xdr:spPr>
            <a:xfrm>
              <a:off x="3543300" y="5605462"/>
              <a:ext cx="354776" cy="5055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skw"/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IN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IN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IN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𝑒</m:t>
                                </m:r>
                              </m:e>
                              <m:sub>
                                <m:r>
                                  <a:rPr lang="en-IN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</m:sub>
                            </m:sSub>
                          </m:num>
                          <m:den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</m:t>
                            </m:r>
                          </m:den>
                        </m:f>
                      </m:num>
                      <m:den>
                        <m:f>
                          <m:fPr>
                            <m:ctrlPr>
                              <a:rPr lang="en-IN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IN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IN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𝑒</m:t>
                                </m:r>
                              </m:e>
                              <m:sub>
                                <m:r>
                                  <a:rPr lang="en-IN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num>
                          <m:den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den>
                        </m:f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80185666-484C-4C05-B216-0A028E529F5C}"/>
                </a:ext>
              </a:extLst>
            </xdr:cNvPr>
            <xdr:cNvSpPr txBox="1"/>
          </xdr:nvSpPr>
          <xdr:spPr>
            <a:xfrm>
              <a:off x="3543300" y="5605462"/>
              <a:ext cx="354776" cy="5055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𝑒_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)⁄(𝑒_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0</xdr:col>
      <xdr:colOff>838200</xdr:colOff>
      <xdr:row>40</xdr:row>
      <xdr:rowOff>4762</xdr:rowOff>
    </xdr:from>
    <xdr:ext cx="27321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200-000002000000}"/>
                </a:ext>
              </a:extLst>
            </xdr:cNvPr>
            <xdr:cNvSpPr txBox="1"/>
          </xdr:nvSpPr>
          <xdr:spPr>
            <a:xfrm>
              <a:off x="838200" y="7624762"/>
              <a:ext cx="2732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𝑅𝐷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23CA761-2695-4B10-927D-602C2D73C144}"/>
                </a:ext>
              </a:extLst>
            </xdr:cNvPr>
            <xdr:cNvSpPr txBox="1"/>
          </xdr:nvSpPr>
          <xdr:spPr>
            <a:xfrm>
              <a:off x="838200" y="7624762"/>
              <a:ext cx="2732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latin typeface="Cambria Math" panose="02040503050406030204" pitchFamily="18" charset="0"/>
                </a:rPr>
                <a:t>𝑁_𝑅𝐷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0</xdr:col>
      <xdr:colOff>800100</xdr:colOff>
      <xdr:row>47</xdr:row>
      <xdr:rowOff>14287</xdr:rowOff>
    </xdr:from>
    <xdr:ext cx="3574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200-000003000000}"/>
                </a:ext>
              </a:extLst>
            </xdr:cNvPr>
            <xdr:cNvSpPr txBox="1"/>
          </xdr:nvSpPr>
          <xdr:spPr>
            <a:xfrm>
              <a:off x="800100" y="7824787"/>
              <a:ext cx="357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𝑅𝐷𝑌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17AC613-3900-4C88-9608-458ECAF8AB3A}"/>
                </a:ext>
              </a:extLst>
            </xdr:cNvPr>
            <xdr:cNvSpPr txBox="1"/>
          </xdr:nvSpPr>
          <xdr:spPr>
            <a:xfrm>
              <a:off x="800100" y="7824787"/>
              <a:ext cx="3574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latin typeface="Cambria Math" panose="02040503050406030204" pitchFamily="18" charset="0"/>
                </a:rPr>
                <a:t>𝑀_𝑅𝐷𝑌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0</xdr:col>
      <xdr:colOff>790575</xdr:colOff>
      <xdr:row>48</xdr:row>
      <xdr:rowOff>4762</xdr:rowOff>
    </xdr:from>
    <xdr:ext cx="34983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00000000-0008-0000-0200-000004000000}"/>
                </a:ext>
              </a:extLst>
            </xdr:cNvPr>
            <xdr:cNvSpPr txBox="1"/>
          </xdr:nvSpPr>
          <xdr:spPr>
            <a:xfrm>
              <a:off x="790575" y="8005762"/>
              <a:ext cx="3498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e>
                      <m:sub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𝑅𝐷𝑍</m:t>
                        </m:r>
                      </m:sub>
                    </m:sSub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D38D457-1ECC-4081-94FF-AF461332CDB1}"/>
                </a:ext>
              </a:extLst>
            </xdr:cNvPr>
            <xdr:cNvSpPr txBox="1"/>
          </xdr:nvSpPr>
          <xdr:spPr>
            <a:xfrm>
              <a:off x="790575" y="8005762"/>
              <a:ext cx="3498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𝑀_𝑅𝐷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𝑍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0</xdr:col>
      <xdr:colOff>676275</xdr:colOff>
      <xdr:row>49</xdr:row>
      <xdr:rowOff>42862</xdr:rowOff>
    </xdr:from>
    <xdr:ext cx="567720" cy="3571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200-000005000000}"/>
                </a:ext>
              </a:extLst>
            </xdr:cNvPr>
            <xdr:cNvSpPr txBox="1"/>
          </xdr:nvSpPr>
          <xdr:spPr>
            <a:xfrm>
              <a:off x="676275" y="8120062"/>
              <a:ext cx="567720" cy="3571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skw"/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IN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𝐸𝐷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IN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𝑅𝐷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xmlns:a14="http://schemas.microsoft.com/office/drawing/2010/main" id="{00000000-0008-0000-0200-000005000000}"/>
                </a:ext>
              </a:extLst>
            </xdr:cNvPr>
            <xdr:cNvSpPr txBox="1"/>
          </xdr:nvSpPr>
          <xdr:spPr>
            <a:xfrm>
              <a:off x="676275" y="8120062"/>
              <a:ext cx="567720" cy="3571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𝑁_𝐸𝐷⁄𝑁_𝑅𝐷 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0</xdr:col>
      <xdr:colOff>333375</xdr:colOff>
      <xdr:row>52</xdr:row>
      <xdr:rowOff>23812</xdr:rowOff>
    </xdr:from>
    <xdr:ext cx="1543050" cy="2919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xmlns="" id="{00000000-0008-0000-0200-000006000000}"/>
                </a:ext>
              </a:extLst>
            </xdr:cNvPr>
            <xdr:cNvSpPr txBox="1"/>
          </xdr:nvSpPr>
          <xdr:spPr>
            <a:xfrm>
              <a:off x="333375" y="8786812"/>
              <a:ext cx="1543050" cy="2919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p>
                    <m:sSupPr>
                      <m:ctrlPr>
                        <a:rPr lang="en-IN" sz="11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IN" sz="110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IN" sz="11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b>
                                <m:sSubPr>
                                  <m:ctrlPr>
                                    <a:rPr lang="en-IN" sz="11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IN" sz="1100" b="0" i="1">
                                      <a:latin typeface="Cambria Math" panose="02040503050406030204" pitchFamily="18" charset="0"/>
                                    </a:rPr>
                                    <m:t>𝑀</m:t>
                                  </m:r>
                                </m:e>
                                <m:sub>
                                  <m:r>
                                    <a:rPr lang="en-IN" sz="1100" b="0" i="1">
                                      <a:latin typeface="Cambria Math" panose="02040503050406030204" pitchFamily="18" charset="0"/>
                                    </a:rPr>
                                    <m:t>𝐸𝐷𝑌</m:t>
                                  </m:r>
                                </m:sub>
                              </m:sSub>
                            </m:num>
                            <m:den>
                              <m:sSub>
                                <m:sSubPr>
                                  <m:ctrlPr>
                                    <a:rPr lang="en-IN" sz="11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IN" sz="1100" b="0" i="1">
                                      <a:latin typeface="Cambria Math" panose="02040503050406030204" pitchFamily="18" charset="0"/>
                                    </a:rPr>
                                    <m:t>𝑀</m:t>
                                  </m:r>
                                </m:e>
                                <m:sub>
                                  <m:r>
                                    <a:rPr lang="en-IN" sz="1100" b="0" i="1">
                                      <a:latin typeface="Cambria Math" panose="02040503050406030204" pitchFamily="18" charset="0"/>
                                    </a:rPr>
                                    <m:t>𝑅𝐷𝑌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  <m:sup>
                      <m:r>
                        <a:rPr lang="en-IN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∝</m:t>
                      </m:r>
                    </m:sup>
                  </m:sSup>
                </m:oMath>
              </a14:m>
              <a:r>
                <a:rPr lang="en-IN" sz="1100"/>
                <a:t>+</a:t>
              </a:r>
              <a14:m>
                <m:oMath xmlns:m="http://schemas.openxmlformats.org/officeDocument/2006/math">
                  <m:sSup>
                    <m:sSup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d>
                        <m:dPr>
                          <m:ctrlPr>
                            <a:rPr lang="en-IN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IN" sz="11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sSub>
                                <m:sSubPr>
                                  <m:ctrlPr>
                                    <a:rPr lang="en-IN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IN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𝑀</m:t>
                                  </m:r>
                                </m:e>
                                <m:sub>
                                  <m:r>
                                    <a:rPr lang="en-IN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𝐸𝐷𝑍</m:t>
                                  </m:r>
                                </m:sub>
                              </m:sSub>
                            </m:num>
                            <m:den>
                              <m:sSub>
                                <m:sSubPr>
                                  <m:ctrlPr>
                                    <a:rPr lang="en-IN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IN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𝑀</m:t>
                                  </m:r>
                                </m:e>
                                <m:sub>
                                  <m:r>
                                    <a:rPr lang="en-IN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𝑅𝐷𝑍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  <m:sup>
                      <m: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∝</m:t>
                      </m:r>
                    </m:sup>
                  </m:sSup>
                </m:oMath>
              </a14:m>
              <a:endParaRPr lang="en-IN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23D50F4-6FF0-4FD8-ADB3-95B9C38947CA}"/>
                </a:ext>
              </a:extLst>
            </xdr:cNvPr>
            <xdr:cNvSpPr txBox="1"/>
          </xdr:nvSpPr>
          <xdr:spPr>
            <a:xfrm>
              <a:off x="333375" y="8786812"/>
              <a:ext cx="1543050" cy="2919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IN" sz="1100" i="0">
                  <a:latin typeface="Cambria Math" panose="02040503050406030204" pitchFamily="18" charset="0"/>
                </a:rPr>
                <a:t>(</a:t>
              </a:r>
              <a:r>
                <a:rPr lang="en-IN" sz="1100" b="0" i="0">
                  <a:latin typeface="Cambria Math" panose="02040503050406030204" pitchFamily="18" charset="0"/>
                </a:rPr>
                <a:t>𝑀_𝐸𝐷𝑌/𝑀_𝑅𝐷𝑌 )^</a:t>
              </a:r>
              <a:r>
                <a:rPr lang="en-IN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∝</a:t>
              </a:r>
              <a:r>
                <a:rPr lang="en-IN" sz="1100"/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𝑀_𝐸𝐷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𝑍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/𝑀_𝑅𝐷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𝑍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)^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∝</a:t>
              </a:r>
              <a:endParaRPr lang="en-IN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24</xdr:row>
      <xdr:rowOff>66674</xdr:rowOff>
    </xdr:from>
    <xdr:ext cx="590550" cy="2898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300-000002000000}"/>
                </a:ext>
              </a:extLst>
            </xdr:cNvPr>
            <xdr:cNvSpPr txBox="1"/>
          </xdr:nvSpPr>
          <xdr:spPr>
            <a:xfrm>
              <a:off x="85725" y="3876674"/>
              <a:ext cx="590550" cy="2898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A054F87-5793-4FB7-9F53-2F66BC1E4E77}"/>
                </a:ext>
              </a:extLst>
            </xdr:cNvPr>
            <xdr:cNvSpPr txBox="1"/>
          </xdr:nvSpPr>
          <xdr:spPr>
            <a:xfrm>
              <a:off x="85725" y="3876674"/>
              <a:ext cx="590550" cy="2898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𝑥/ℎ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</xdr:col>
      <xdr:colOff>247650</xdr:colOff>
      <xdr:row>24</xdr:row>
      <xdr:rowOff>42862</xdr:rowOff>
    </xdr:from>
    <xdr:ext cx="188578" cy="317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300-000003000000}"/>
                </a:ext>
              </a:extLst>
            </xdr:cNvPr>
            <xdr:cNvSpPr txBox="1"/>
          </xdr:nvSpPr>
          <xdr:spPr>
            <a:xfrm>
              <a:off x="990600" y="3852862"/>
              <a:ext cx="188578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𝐶𝑐</m:t>
                        </m:r>
                      </m:num>
                      <m:den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𝑏h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C7C6D19-D780-41CC-B94F-5D2A0DA9D80E}"/>
                </a:ext>
              </a:extLst>
            </xdr:cNvPr>
            <xdr:cNvSpPr txBox="1"/>
          </xdr:nvSpPr>
          <xdr:spPr>
            <a:xfrm>
              <a:off x="990600" y="3852862"/>
              <a:ext cx="188578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𝐶𝑐/𝑏ℎ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2</xdr:col>
      <xdr:colOff>209550</xdr:colOff>
      <xdr:row>24</xdr:row>
      <xdr:rowOff>33337</xdr:rowOff>
    </xdr:from>
    <xdr:ext cx="344774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00000000-0008-0000-0300-000004000000}"/>
                </a:ext>
              </a:extLst>
            </xdr:cNvPr>
            <xdr:cNvSpPr txBox="1"/>
          </xdr:nvSpPr>
          <xdr:spPr>
            <a:xfrm>
              <a:off x="1600200" y="4605337"/>
              <a:ext cx="34477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𝑀𝑐</m:t>
                        </m:r>
                      </m:num>
                      <m:den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𝑏h</m:t>
                        </m:r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^2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32D5A24-D222-4D09-934A-BD8ABE2F9EEF}"/>
                </a:ext>
              </a:extLst>
            </xdr:cNvPr>
            <xdr:cNvSpPr txBox="1"/>
          </xdr:nvSpPr>
          <xdr:spPr>
            <a:xfrm>
              <a:off x="1600200" y="4605337"/>
              <a:ext cx="34477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𝑀𝑐/(𝑏ℎ^2)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8</xdr:col>
      <xdr:colOff>180975</xdr:colOff>
      <xdr:row>24</xdr:row>
      <xdr:rowOff>33337</xdr:rowOff>
    </xdr:from>
    <xdr:ext cx="188577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xmlns="" id="{00000000-0008-0000-0300-000008000000}"/>
                </a:ext>
              </a:extLst>
            </xdr:cNvPr>
            <xdr:cNvSpPr txBox="1"/>
          </xdr:nvSpPr>
          <xdr:spPr>
            <a:xfrm>
              <a:off x="5229225" y="4605337"/>
              <a:ext cx="18857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𝑏h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9AEDD6DA-1301-4BD2-952D-0D9704B71375}"/>
                </a:ext>
              </a:extLst>
            </xdr:cNvPr>
            <xdr:cNvSpPr txBox="1"/>
          </xdr:nvSpPr>
          <xdr:spPr>
            <a:xfrm>
              <a:off x="5229225" y="4605337"/>
              <a:ext cx="18857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𝑁/𝑏ℎ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7</xdr:col>
      <xdr:colOff>152400</xdr:colOff>
      <xdr:row>24</xdr:row>
      <xdr:rowOff>33337</xdr:rowOff>
    </xdr:from>
    <xdr:ext cx="344774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xmlns="" id="{00000000-0008-0000-0300-000009000000}"/>
                </a:ext>
              </a:extLst>
            </xdr:cNvPr>
            <xdr:cNvSpPr txBox="1"/>
          </xdr:nvSpPr>
          <xdr:spPr>
            <a:xfrm>
              <a:off x="4591050" y="4605337"/>
              <a:ext cx="34477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𝑏h</m:t>
                        </m:r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^2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F5BB9BB3-2841-479D-8F47-AE84A903DBFE}"/>
                </a:ext>
              </a:extLst>
            </xdr:cNvPr>
            <xdr:cNvSpPr txBox="1"/>
          </xdr:nvSpPr>
          <xdr:spPr>
            <a:xfrm>
              <a:off x="4591050" y="4605337"/>
              <a:ext cx="34477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𝑀/(𝑏ℎ^2)</a:t>
              </a:r>
              <a:endParaRPr lang="en-IN" sz="1100"/>
            </a:p>
          </xdr:txBody>
        </xdr:sp>
      </mc:Fallback>
    </mc:AlternateContent>
    <xdr:clientData/>
  </xdr:oneCellAnchor>
  <xdr:twoCellAnchor>
    <xdr:from>
      <xdr:col>9</xdr:col>
      <xdr:colOff>292100</xdr:colOff>
      <xdr:row>9</xdr:row>
      <xdr:rowOff>79374</xdr:rowOff>
    </xdr:from>
    <xdr:to>
      <xdr:col>16</xdr:col>
      <xdr:colOff>425451</xdr:colOff>
      <xdr:row>26</xdr:row>
      <xdr:rowOff>155575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95250</xdr:colOff>
      <xdr:row>24</xdr:row>
      <xdr:rowOff>23812</xdr:rowOff>
    </xdr:from>
    <xdr:ext cx="344773" cy="3308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xmlns="" id="{00000000-0008-0000-0300-000007000000}"/>
                </a:ext>
              </a:extLst>
            </xdr:cNvPr>
            <xdr:cNvSpPr txBox="1"/>
          </xdr:nvSpPr>
          <xdr:spPr>
            <a:xfrm>
              <a:off x="3314700" y="4595812"/>
              <a:ext cx="344773" cy="330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𝑏h</m:t>
                        </m:r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^2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DFC10B06-60F0-45EB-A3CF-3910AE770F70}"/>
                </a:ext>
              </a:extLst>
            </xdr:cNvPr>
            <xdr:cNvSpPr txBox="1"/>
          </xdr:nvSpPr>
          <xdr:spPr>
            <a:xfrm>
              <a:off x="3314700" y="4595812"/>
              <a:ext cx="344773" cy="330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𝑀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′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/(𝑏ℎ^2)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6</xdr:col>
      <xdr:colOff>247650</xdr:colOff>
      <xdr:row>24</xdr:row>
      <xdr:rowOff>42862</xdr:rowOff>
    </xdr:from>
    <xdr:ext cx="188577" cy="3308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xmlns="" id="{00000000-0008-0000-0300-00000A000000}"/>
                </a:ext>
              </a:extLst>
            </xdr:cNvPr>
            <xdr:cNvSpPr txBox="1"/>
          </xdr:nvSpPr>
          <xdr:spPr>
            <a:xfrm>
              <a:off x="4076700" y="4614862"/>
              <a:ext cx="188577" cy="330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𝑏h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F2392682-9588-4A97-B768-5040BAD37B69}"/>
                </a:ext>
              </a:extLst>
            </xdr:cNvPr>
            <xdr:cNvSpPr txBox="1"/>
          </xdr:nvSpPr>
          <xdr:spPr>
            <a:xfrm>
              <a:off x="4076700" y="4614862"/>
              <a:ext cx="188577" cy="330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𝑁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′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/𝑏ℎ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10</xdr:col>
      <xdr:colOff>133350</xdr:colOff>
      <xdr:row>22</xdr:row>
      <xdr:rowOff>19050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 txBox="1"/>
      </xdr:nvSpPr>
      <xdr:spPr>
        <a:xfrm>
          <a:off x="6400800" y="4333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13</xdr:col>
      <xdr:colOff>190500</xdr:colOff>
      <xdr:row>29</xdr:row>
      <xdr:rowOff>161925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 txBox="1"/>
      </xdr:nvSpPr>
      <xdr:spPr>
        <a:xfrm>
          <a:off x="8286750" y="581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</xdr:row>
          <xdr:rowOff>152400</xdr:rowOff>
        </xdr:from>
        <xdr:to>
          <xdr:col>13</xdr:col>
          <xdr:colOff>552450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530165</xdr:colOff>
      <xdr:row>20</xdr:row>
      <xdr:rowOff>62901</xdr:rowOff>
    </xdr:from>
    <xdr:to>
      <xdr:col>15</xdr:col>
      <xdr:colOff>242618</xdr:colOff>
      <xdr:row>24</xdr:row>
      <xdr:rowOff>80872</xdr:rowOff>
    </xdr:to>
    <xdr:cxnSp macro="">
      <xdr:nvCxnSpPr>
        <xdr:cNvPr id="14" name="Straight Connector 13"/>
        <xdr:cNvCxnSpPr/>
      </xdr:nvCxnSpPr>
      <xdr:spPr>
        <a:xfrm flipV="1">
          <a:off x="6388939" y="3971745"/>
          <a:ext cx="3378679" cy="772783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0.47508</cdr:y>
    </cdr:from>
    <cdr:to>
      <cdr:x>0.06711</cdr:x>
      <cdr:y>0.67806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xmlns="" id="{BE52E877-0FF1-43D2-9DE6-77E33B079ECE}"/>
                </a:ext>
              </a:extLst>
            </cdr:cNvPr>
            <cdr:cNvSpPr txBox="1"/>
          </cdr:nvSpPr>
          <cdr:spPr>
            <a:xfrm xmlns:a="http://schemas.openxmlformats.org/drawingml/2006/main">
              <a:off x="0" y="1574734"/>
              <a:ext cx="295321" cy="67281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𝑏h</m:t>
                        </m:r>
                      </m:den>
                    </m:f>
                  </m:oMath>
                </m:oMathPara>
              </a14:m>
              <a:endParaRPr lang="en-IN" sz="1100"/>
            </a:p>
          </cdr:txBody>
        </cdr:sp>
      </mc:Choice>
      <mc:Fallback xmlns=""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xmlns="" xmlns:a14="http://schemas.microsoft.com/office/drawing/2010/main" id="{BE52E877-0FF1-43D2-9DE6-77E33B079ECE}"/>
                </a:ext>
              </a:extLst>
            </cdr:cNvPr>
            <cdr:cNvSpPr txBox="1"/>
          </cdr:nvSpPr>
          <cdr:spPr>
            <a:xfrm xmlns:a="http://schemas.openxmlformats.org/drawingml/2006/main">
              <a:off x="0" y="1574734"/>
              <a:ext cx="295321" cy="67281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pPr/>
              <a:r>
                <a:rPr lang="en-IN" sz="1100" b="0" i="0">
                  <a:latin typeface="Cambria Math" panose="02040503050406030204" pitchFamily="18" charset="0"/>
                </a:rPr>
                <a:t>𝑃/𝑏ℎ</a:t>
              </a:r>
              <a:endParaRPr lang="en-IN" sz="1100"/>
            </a:p>
          </cdr:txBody>
        </cdr:sp>
      </mc:Fallback>
    </mc:AlternateContent>
  </cdr:relSizeAnchor>
  <cdr:relSizeAnchor xmlns:cdr="http://schemas.openxmlformats.org/drawingml/2006/chartDrawing">
    <cdr:from>
      <cdr:x>0.36465</cdr:x>
      <cdr:y>0.86269</cdr:y>
    </cdr:from>
    <cdr:to>
      <cdr:x>0.56376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>
              <a:extLst xmlns:a="http://schemas.openxmlformats.org/drawingml/2006/main">
                <a:ext uri="{FF2B5EF4-FFF2-40B4-BE49-F238E27FC236}">
                  <a16:creationId xmlns:a16="http://schemas.microsoft.com/office/drawing/2014/main" xmlns="" id="{58BEA75C-7944-4A6C-BE16-73D2582184AB}"/>
                </a:ext>
              </a:extLst>
            </cdr:cNvPr>
            <cdr:cNvSpPr txBox="1"/>
          </cdr:nvSpPr>
          <cdr:spPr>
            <a:xfrm xmlns:a="http://schemas.openxmlformats.org/drawingml/2006/main">
              <a:off x="1552573" y="2752736"/>
              <a:ext cx="847746" cy="43813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num>
                      <m:den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𝑏</m:t>
                        </m:r>
                        <m:sSup>
                          <m:sSupPr>
                            <m:ctrlPr>
                              <a:rPr lang="en-IN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p>
                            <m:r>
                              <a:rPr lang="en-IN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IN" sz="1100"/>
            </a:p>
          </cdr:txBody>
        </cdr:sp>
      </mc:Choice>
      <mc:Fallback xmlns="">
        <cdr:sp macro="" textlink="">
          <cdr:nvSpPr>
            <cdr:cNvPr id="3" name="TextBox 2">
              <a:extLst xmlns:a="http://schemas.openxmlformats.org/drawingml/2006/main">
                <a:ext uri="{FF2B5EF4-FFF2-40B4-BE49-F238E27FC236}">
                  <a16:creationId xmlns:a16="http://schemas.microsoft.com/office/drawing/2014/main" xmlns="" xmlns:a14="http://schemas.microsoft.com/office/drawing/2010/main" id="{58BEA75C-7944-4A6C-BE16-73D2582184AB}"/>
                </a:ext>
              </a:extLst>
            </cdr:cNvPr>
            <cdr:cNvSpPr txBox="1"/>
          </cdr:nvSpPr>
          <cdr:spPr>
            <a:xfrm xmlns:a="http://schemas.openxmlformats.org/drawingml/2006/main">
              <a:off x="1552573" y="2752736"/>
              <a:ext cx="847746" cy="43813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pPr/>
              <a:r>
                <a:rPr lang="en-IN" sz="1100" b="0" i="0">
                  <a:latin typeface="Cambria Math" panose="02040503050406030204" pitchFamily="18" charset="0"/>
                </a:rPr>
                <a:t>𝑀/(𝑏ℎ^2 )</a:t>
              </a:r>
              <a:endParaRPr lang="en-IN" sz="1100"/>
            </a:p>
          </cdr:txBody>
        </cdr:sp>
      </mc:Fallback>
    </mc:AlternateContent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24</xdr:row>
      <xdr:rowOff>66674</xdr:rowOff>
    </xdr:from>
    <xdr:ext cx="590550" cy="2898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400-000002000000}"/>
                </a:ext>
              </a:extLst>
            </xdr:cNvPr>
            <xdr:cNvSpPr txBox="1"/>
          </xdr:nvSpPr>
          <xdr:spPr>
            <a:xfrm>
              <a:off x="85725" y="4762499"/>
              <a:ext cx="590550" cy="2898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num>
                      <m:den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8875876-E5AE-4D38-AD33-CE7C4F053192}"/>
                </a:ext>
              </a:extLst>
            </xdr:cNvPr>
            <xdr:cNvSpPr txBox="1"/>
          </xdr:nvSpPr>
          <xdr:spPr>
            <a:xfrm>
              <a:off x="85725" y="4762499"/>
              <a:ext cx="590550" cy="2898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𝑥/ℎ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</xdr:col>
      <xdr:colOff>247650</xdr:colOff>
      <xdr:row>24</xdr:row>
      <xdr:rowOff>42862</xdr:rowOff>
    </xdr:from>
    <xdr:ext cx="188578" cy="317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400-000003000000}"/>
                </a:ext>
              </a:extLst>
            </xdr:cNvPr>
            <xdr:cNvSpPr txBox="1"/>
          </xdr:nvSpPr>
          <xdr:spPr>
            <a:xfrm>
              <a:off x="1028700" y="4738687"/>
              <a:ext cx="188578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𝐶𝑐</m:t>
                        </m:r>
                      </m:num>
                      <m:den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𝑏h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D8A02C4-A8CA-4EE0-8C2F-CE8CE7015C0B}"/>
                </a:ext>
              </a:extLst>
            </xdr:cNvPr>
            <xdr:cNvSpPr txBox="1"/>
          </xdr:nvSpPr>
          <xdr:spPr>
            <a:xfrm>
              <a:off x="1028700" y="4738687"/>
              <a:ext cx="188578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𝐶𝑐/𝑏ℎ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2</xdr:col>
      <xdr:colOff>209550</xdr:colOff>
      <xdr:row>24</xdr:row>
      <xdr:rowOff>33337</xdr:rowOff>
    </xdr:from>
    <xdr:ext cx="344774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00000000-0008-0000-0400-000004000000}"/>
                </a:ext>
              </a:extLst>
            </xdr:cNvPr>
            <xdr:cNvSpPr txBox="1"/>
          </xdr:nvSpPr>
          <xdr:spPr>
            <a:xfrm>
              <a:off x="1600200" y="4729162"/>
              <a:ext cx="34477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𝑀𝑐</m:t>
                        </m:r>
                      </m:num>
                      <m:den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𝑏h</m:t>
                        </m:r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^2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8CDF23C-444B-43C4-A1CA-3FED0DC26377}"/>
                </a:ext>
              </a:extLst>
            </xdr:cNvPr>
            <xdr:cNvSpPr txBox="1"/>
          </xdr:nvSpPr>
          <xdr:spPr>
            <a:xfrm>
              <a:off x="1600200" y="4729162"/>
              <a:ext cx="34477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𝑀𝑐/(𝑏ℎ^2)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8</xdr:col>
      <xdr:colOff>180975</xdr:colOff>
      <xdr:row>24</xdr:row>
      <xdr:rowOff>33337</xdr:rowOff>
    </xdr:from>
    <xdr:ext cx="188577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400-000005000000}"/>
                </a:ext>
              </a:extLst>
            </xdr:cNvPr>
            <xdr:cNvSpPr txBox="1"/>
          </xdr:nvSpPr>
          <xdr:spPr>
            <a:xfrm>
              <a:off x="5229225" y="4729162"/>
              <a:ext cx="18857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𝑏h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E1AD1DE-BB6C-49EB-99C0-3E80CBE6A2CD}"/>
                </a:ext>
              </a:extLst>
            </xdr:cNvPr>
            <xdr:cNvSpPr txBox="1"/>
          </xdr:nvSpPr>
          <xdr:spPr>
            <a:xfrm>
              <a:off x="5229225" y="4729162"/>
              <a:ext cx="18857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𝑁/𝑏ℎ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7</xdr:col>
      <xdr:colOff>152400</xdr:colOff>
      <xdr:row>24</xdr:row>
      <xdr:rowOff>33337</xdr:rowOff>
    </xdr:from>
    <xdr:ext cx="344774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xmlns="" id="{00000000-0008-0000-0400-000006000000}"/>
                </a:ext>
              </a:extLst>
            </xdr:cNvPr>
            <xdr:cNvSpPr txBox="1"/>
          </xdr:nvSpPr>
          <xdr:spPr>
            <a:xfrm>
              <a:off x="4591050" y="4729162"/>
              <a:ext cx="34477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𝑏h</m:t>
                        </m:r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^2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4B03321A-3DD9-4048-8B2F-9A6849595116}"/>
                </a:ext>
              </a:extLst>
            </xdr:cNvPr>
            <xdr:cNvSpPr txBox="1"/>
          </xdr:nvSpPr>
          <xdr:spPr>
            <a:xfrm>
              <a:off x="4591050" y="4729162"/>
              <a:ext cx="344774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𝑀/(𝑏ℎ^2)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5</xdr:col>
      <xdr:colOff>95250</xdr:colOff>
      <xdr:row>24</xdr:row>
      <xdr:rowOff>23812</xdr:rowOff>
    </xdr:from>
    <xdr:ext cx="344773" cy="3308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xmlns="" id="{00000000-0008-0000-0400-000008000000}"/>
                </a:ext>
              </a:extLst>
            </xdr:cNvPr>
            <xdr:cNvSpPr txBox="1"/>
          </xdr:nvSpPr>
          <xdr:spPr>
            <a:xfrm>
              <a:off x="3314700" y="4719637"/>
              <a:ext cx="344773" cy="330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𝑏h</m:t>
                        </m:r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^2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14B321A9-BD20-49C8-BB1E-C2D4B01A9C3A}"/>
                </a:ext>
              </a:extLst>
            </xdr:cNvPr>
            <xdr:cNvSpPr txBox="1"/>
          </xdr:nvSpPr>
          <xdr:spPr>
            <a:xfrm>
              <a:off x="3314700" y="4719637"/>
              <a:ext cx="344773" cy="330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′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/(𝑏ℎ^2)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6</xdr:col>
      <xdr:colOff>247650</xdr:colOff>
      <xdr:row>24</xdr:row>
      <xdr:rowOff>42862</xdr:rowOff>
    </xdr:from>
    <xdr:ext cx="188577" cy="3308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xmlns="" id="{00000000-0008-0000-0400-000009000000}"/>
                </a:ext>
              </a:extLst>
            </xdr:cNvPr>
            <xdr:cNvSpPr txBox="1"/>
          </xdr:nvSpPr>
          <xdr:spPr>
            <a:xfrm>
              <a:off x="4076700" y="4738687"/>
              <a:ext cx="188577" cy="330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𝑏h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2996664B-8678-4BE8-8E89-78AB2C537F95}"/>
                </a:ext>
              </a:extLst>
            </xdr:cNvPr>
            <xdr:cNvSpPr txBox="1"/>
          </xdr:nvSpPr>
          <xdr:spPr>
            <a:xfrm>
              <a:off x="4076700" y="4738687"/>
              <a:ext cx="188577" cy="330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′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/𝑏ℎ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6</xdr:col>
      <xdr:colOff>238125</xdr:colOff>
      <xdr:row>13</xdr:row>
      <xdr:rowOff>133350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 txBox="1"/>
      </xdr:nvSpPr>
      <xdr:spPr>
        <a:xfrm>
          <a:off x="4067175" y="2733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10</xdr:col>
      <xdr:colOff>552450</xdr:colOff>
      <xdr:row>23</xdr:row>
      <xdr:rowOff>38100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 txBox="1"/>
      </xdr:nvSpPr>
      <xdr:spPr>
        <a:xfrm>
          <a:off x="6819900" y="4543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twoCellAnchor>
    <xdr:from>
      <xdr:col>9</xdr:col>
      <xdr:colOff>184150</xdr:colOff>
      <xdr:row>7</xdr:row>
      <xdr:rowOff>128586</xdr:rowOff>
    </xdr:from>
    <xdr:to>
      <xdr:col>16</xdr:col>
      <xdr:colOff>482600</xdr:colOff>
      <xdr:row>24</xdr:row>
      <xdr:rowOff>57149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123825</xdr:colOff>
      <xdr:row>14</xdr:row>
      <xdr:rowOff>136525</xdr:rowOff>
    </xdr:from>
    <xdr:ext cx="373244" cy="4092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xmlns="" id="{00000000-0008-0000-0400-00000D000000}"/>
                </a:ext>
              </a:extLst>
            </xdr:cNvPr>
            <xdr:cNvSpPr txBox="1"/>
          </xdr:nvSpPr>
          <xdr:spPr>
            <a:xfrm>
              <a:off x="5972175" y="2936875"/>
              <a:ext cx="373244" cy="4092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𝑏h</m:t>
                        </m:r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xmlns="" xmlns:a14="http://schemas.microsoft.com/office/drawing/2010/main" id="{00000000-0008-0000-0400-00000D000000}"/>
                </a:ext>
              </a:extLst>
            </xdr:cNvPr>
            <xdr:cNvSpPr txBox="1"/>
          </xdr:nvSpPr>
          <xdr:spPr>
            <a:xfrm>
              <a:off x="5972175" y="2936875"/>
              <a:ext cx="373244" cy="4092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𝑃/𝑏ℎ</a:t>
              </a:r>
              <a:endParaRPr lang="en-IN" sz="1100"/>
            </a:p>
          </xdr:txBody>
        </xdr:sp>
      </mc:Fallback>
    </mc:AlternateContent>
    <xdr:clientData/>
  </xdr:oneCellAnchor>
  <xdr:oneCellAnchor>
    <xdr:from>
      <xdr:col>12</xdr:col>
      <xdr:colOff>473075</xdr:colOff>
      <xdr:row>22</xdr:row>
      <xdr:rowOff>60325</xdr:rowOff>
    </xdr:from>
    <xdr:ext cx="441724" cy="4092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xmlns="" id="{00000000-0008-0000-0400-00000E000000}"/>
                </a:ext>
              </a:extLst>
            </xdr:cNvPr>
            <xdr:cNvSpPr txBox="1"/>
          </xdr:nvSpPr>
          <xdr:spPr>
            <a:xfrm>
              <a:off x="8150225" y="4384675"/>
              <a:ext cx="441724" cy="4092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IN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</m:t>
                        </m:r>
                        <m:sSup>
                          <m:sSupPr>
                            <m:ctrlP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p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IN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xmlns="" xmlns:a14="http://schemas.microsoft.com/office/drawing/2010/main" id="{00000000-0008-0000-0400-00000E000000}"/>
                </a:ext>
              </a:extLst>
            </xdr:cNvPr>
            <xdr:cNvSpPr txBox="1"/>
          </xdr:nvSpPr>
          <xdr:spPr>
            <a:xfrm>
              <a:off x="8150225" y="4384675"/>
              <a:ext cx="441724" cy="4092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𝑀/(𝑏ℎ^2 )</a:t>
              </a:r>
              <a:endParaRPr lang="en-IN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3</xdr:row>
          <xdr:rowOff>57150</xdr:rowOff>
        </xdr:from>
        <xdr:to>
          <xdr:col>13</xdr:col>
          <xdr:colOff>476250</xdr:colOff>
          <xdr:row>5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17</xdr:row>
      <xdr:rowOff>85726</xdr:rowOff>
    </xdr:from>
    <xdr:to>
      <xdr:col>15</xdr:col>
      <xdr:colOff>76200</xdr:colOff>
      <xdr:row>21</xdr:row>
      <xdr:rowOff>133350</xdr:rowOff>
    </xdr:to>
    <xdr:cxnSp macro="">
      <xdr:nvCxnSpPr>
        <xdr:cNvPr id="15" name="Straight Connector 14"/>
        <xdr:cNvCxnSpPr/>
      </xdr:nvCxnSpPr>
      <xdr:spPr>
        <a:xfrm flipV="1">
          <a:off x="6457950" y="3457576"/>
          <a:ext cx="3124200" cy="80962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95"/>
  <sheetViews>
    <sheetView view="pageBreakPreview" topLeftCell="A55" zoomScale="98" zoomScaleNormal="100" zoomScaleSheetLayoutView="98" workbookViewId="0">
      <selection activeCell="C4" sqref="C4"/>
    </sheetView>
  </sheetViews>
  <sheetFormatPr defaultRowHeight="15" x14ac:dyDescent="0.25"/>
  <cols>
    <col min="1" max="1" width="11" customWidth="1"/>
    <col min="2" max="2" width="20.42578125" customWidth="1"/>
    <col min="3" max="3" width="12.140625" customWidth="1"/>
    <col min="10" max="10" width="14.140625" customWidth="1"/>
    <col min="11" max="11" width="11.7109375" customWidth="1"/>
    <col min="12" max="12" width="12" customWidth="1"/>
    <col min="14" max="14" width="9.140625" customWidth="1"/>
    <col min="15" max="15" width="16.5703125" customWidth="1"/>
    <col min="18" max="19" width="0" hidden="1" customWidth="1"/>
  </cols>
  <sheetData>
    <row r="1" spans="1:19" ht="29.25" customHeight="1" x14ac:dyDescent="0.25">
      <c r="A1" s="36" t="s">
        <v>135</v>
      </c>
      <c r="B1" s="37"/>
      <c r="C1" s="37"/>
      <c r="D1" s="37"/>
      <c r="E1" s="37"/>
      <c r="F1" s="37"/>
      <c r="G1" s="37"/>
      <c r="H1" s="37"/>
      <c r="I1" s="37"/>
      <c r="J1" s="3"/>
      <c r="K1" s="3"/>
    </row>
    <row r="2" spans="1:19" ht="18.75" customHeight="1" x14ac:dyDescent="0.25">
      <c r="A2" s="40" t="s">
        <v>132</v>
      </c>
      <c r="B2" s="40"/>
      <c r="C2" s="40"/>
      <c r="D2" s="40"/>
      <c r="E2" s="16"/>
      <c r="F2" s="16"/>
      <c r="G2" s="16"/>
      <c r="H2" s="16"/>
      <c r="I2" s="16"/>
      <c r="J2" s="17"/>
      <c r="K2" s="17"/>
      <c r="L2" s="18"/>
      <c r="M2" s="18"/>
      <c r="N2" s="18"/>
      <c r="O2" s="18"/>
      <c r="P2" s="18"/>
      <c r="Q2" s="18"/>
    </row>
    <row r="3" spans="1:19" ht="15.75" x14ac:dyDescent="0.25">
      <c r="A3" s="42" t="s">
        <v>0</v>
      </c>
      <c r="B3" s="42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</row>
    <row r="4" spans="1:19" ht="15.75" x14ac:dyDescent="0.25">
      <c r="A4" s="24" t="s">
        <v>146</v>
      </c>
      <c r="B4" s="24"/>
      <c r="C4" s="19" t="s">
        <v>71</v>
      </c>
      <c r="D4" s="18"/>
      <c r="E4" s="18"/>
      <c r="F4" s="18"/>
      <c r="G4" s="18"/>
      <c r="H4" s="18"/>
      <c r="I4" s="18"/>
      <c r="J4" s="41" t="s">
        <v>19</v>
      </c>
      <c r="K4" s="41"/>
      <c r="L4" s="41"/>
      <c r="M4" s="18"/>
      <c r="N4" s="18"/>
      <c r="O4" s="18"/>
      <c r="P4" s="18"/>
      <c r="Q4" s="18"/>
    </row>
    <row r="5" spans="1:19" ht="15.75" x14ac:dyDescent="0.25">
      <c r="A5" s="24" t="str">
        <f>IF(C4="circle","DIA","WIDTH(b)")</f>
        <v>WIDTH(b)</v>
      </c>
      <c r="B5" s="24" t="s">
        <v>1</v>
      </c>
      <c r="C5" s="19">
        <v>1</v>
      </c>
      <c r="D5" s="18" t="s">
        <v>2</v>
      </c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</row>
    <row r="6" spans="1:19" ht="18.75" x14ac:dyDescent="0.25">
      <c r="A6" s="24" t="str">
        <f>IF(C4="circle","","DEPTH(d)")</f>
        <v>DEPTH(d)</v>
      </c>
      <c r="B6" s="24" t="str">
        <f>IF(C4="circle","","=")</f>
        <v>=</v>
      </c>
      <c r="C6" s="19">
        <v>9</v>
      </c>
      <c r="D6" s="18" t="str">
        <f>IF(C4="circle","","m")</f>
        <v>m</v>
      </c>
      <c r="E6" s="18"/>
      <c r="F6" s="18"/>
      <c r="G6" s="18"/>
      <c r="H6" s="18"/>
      <c r="I6" s="18"/>
      <c r="J6" s="38" t="s">
        <v>20</v>
      </c>
      <c r="K6" s="38"/>
      <c r="L6" s="38"/>
      <c r="M6" s="26">
        <v>20</v>
      </c>
      <c r="N6" s="31">
        <v>0</v>
      </c>
      <c r="O6" s="18"/>
      <c r="P6" s="18"/>
      <c r="Q6" s="18"/>
    </row>
    <row r="7" spans="1:19" ht="15.75" x14ac:dyDescent="0.25">
      <c r="A7" s="24" t="s">
        <v>141</v>
      </c>
      <c r="B7" s="24" t="s">
        <v>1</v>
      </c>
      <c r="C7" s="19">
        <v>10</v>
      </c>
      <c r="D7" s="18" t="s">
        <v>2</v>
      </c>
      <c r="E7" s="18"/>
      <c r="F7" s="18"/>
      <c r="G7" s="18"/>
      <c r="H7" s="18"/>
      <c r="I7" s="18"/>
      <c r="J7" s="38" t="s">
        <v>131</v>
      </c>
      <c r="K7" s="38"/>
      <c r="L7" s="38"/>
      <c r="M7" s="38"/>
      <c r="N7" s="38"/>
      <c r="O7" s="18"/>
      <c r="P7" s="18"/>
      <c r="Q7" s="18"/>
    </row>
    <row r="8" spans="1:19" ht="15.75" x14ac:dyDescent="0.25">
      <c r="A8" s="24" t="s">
        <v>142</v>
      </c>
      <c r="B8" s="24"/>
      <c r="C8" s="18">
        <f>1.4*C7</f>
        <v>14</v>
      </c>
      <c r="D8" s="18" t="s">
        <v>2</v>
      </c>
      <c r="E8" s="18" t="s">
        <v>3</v>
      </c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</row>
    <row r="9" spans="1:19" ht="15.75" x14ac:dyDescent="0.25">
      <c r="A9" s="24"/>
      <c r="B9" s="24"/>
      <c r="C9" s="18"/>
      <c r="D9" s="18"/>
      <c r="E9" s="18"/>
      <c r="F9" s="18"/>
      <c r="G9" s="18"/>
      <c r="H9" s="18"/>
      <c r="I9" s="18"/>
      <c r="J9" s="39" t="s">
        <v>16</v>
      </c>
      <c r="K9" s="39"/>
      <c r="L9" s="39"/>
      <c r="M9" s="39"/>
      <c r="N9" s="20">
        <v>7</v>
      </c>
      <c r="O9" s="18" t="s">
        <v>2</v>
      </c>
      <c r="P9" s="18"/>
      <c r="Q9" s="18"/>
    </row>
    <row r="10" spans="1:19" ht="15.75" x14ac:dyDescent="0.25">
      <c r="A10" s="25" t="s">
        <v>43</v>
      </c>
      <c r="B10" s="25"/>
      <c r="C10" s="19">
        <v>30</v>
      </c>
      <c r="D10" s="18" t="s">
        <v>45</v>
      </c>
      <c r="F10" s="18"/>
      <c r="G10" s="18"/>
      <c r="H10" s="18"/>
      <c r="I10" s="18"/>
      <c r="J10" s="39" t="s">
        <v>103</v>
      </c>
      <c r="K10" s="39"/>
      <c r="L10" s="39"/>
      <c r="M10" s="39"/>
      <c r="N10" s="18">
        <f>IF(C4="circle",3.14*C5*0.5*N9,C5*N9)</f>
        <v>7</v>
      </c>
      <c r="O10" s="18"/>
      <c r="P10" s="18"/>
      <c r="Q10" s="18"/>
    </row>
    <row r="11" spans="1:19" ht="15.75" x14ac:dyDescent="0.25">
      <c r="A11" s="25" t="s">
        <v>44</v>
      </c>
      <c r="B11" s="24"/>
      <c r="C11" s="19">
        <v>500</v>
      </c>
      <c r="D11" s="18" t="s">
        <v>45</v>
      </c>
      <c r="F11" s="18"/>
      <c r="G11" s="18"/>
      <c r="H11" s="18"/>
      <c r="I11" s="18"/>
      <c r="J11" s="39" t="s">
        <v>104</v>
      </c>
      <c r="K11" s="39"/>
      <c r="L11" s="39"/>
      <c r="M11" s="39"/>
      <c r="N11" s="18">
        <f>IF(C4="circle",3.14*C5*0.5*N9,C6*N9)</f>
        <v>63</v>
      </c>
      <c r="O11" s="18"/>
      <c r="P11" s="18"/>
      <c r="Q11" s="18"/>
    </row>
    <row r="12" spans="1:19" ht="15.75" x14ac:dyDescent="0.25">
      <c r="A12" s="38" t="s">
        <v>46</v>
      </c>
      <c r="B12" s="38"/>
      <c r="C12" s="19">
        <f>VLOOKUP(C10,R12:S21,2,FALSE)</f>
        <v>31</v>
      </c>
      <c r="D12" s="18" t="s">
        <v>47</v>
      </c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>
        <v>15</v>
      </c>
      <c r="S12">
        <v>27</v>
      </c>
    </row>
    <row r="13" spans="1:19" ht="15.75" x14ac:dyDescent="0.25">
      <c r="A13" s="21"/>
      <c r="B13" s="22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>
        <v>20</v>
      </c>
      <c r="S13">
        <v>29</v>
      </c>
    </row>
    <row r="14" spans="1:19" ht="15.75" x14ac:dyDescent="0.25">
      <c r="A14" s="17"/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>
        <v>25</v>
      </c>
      <c r="S14">
        <v>30</v>
      </c>
    </row>
    <row r="15" spans="1:19" ht="15.7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>
        <v>30</v>
      </c>
      <c r="S15">
        <v>31</v>
      </c>
    </row>
    <row r="16" spans="1:19" ht="15.75" x14ac:dyDescent="0.25">
      <c r="A16" s="42" t="s">
        <v>4</v>
      </c>
      <c r="B16" s="42"/>
      <c r="C16" s="18"/>
      <c r="D16" s="18"/>
      <c r="E16" s="18"/>
      <c r="F16" s="18"/>
      <c r="G16" s="18"/>
      <c r="H16" s="18"/>
      <c r="I16" s="18"/>
      <c r="J16" s="38" t="s">
        <v>21</v>
      </c>
      <c r="K16" s="38"/>
      <c r="L16" s="38"/>
      <c r="M16" s="24" t="s">
        <v>1</v>
      </c>
      <c r="N16" s="26">
        <v>2.2000000000000002</v>
      </c>
      <c r="O16" s="24" t="s">
        <v>23</v>
      </c>
      <c r="P16" s="18"/>
      <c r="Q16" s="18"/>
      <c r="R16">
        <v>35</v>
      </c>
      <c r="S16">
        <v>32</v>
      </c>
    </row>
    <row r="17" spans="1:19" ht="15.75" x14ac:dyDescent="0.25">
      <c r="A17" s="24" t="s">
        <v>143</v>
      </c>
      <c r="B17" s="24" t="s">
        <v>1</v>
      </c>
      <c r="C17" s="23">
        <f>IF(C4="circle",25*C7*3.14*C5*C5/4,25*C7*C5*C6)</f>
        <v>2250</v>
      </c>
      <c r="D17" s="18" t="s">
        <v>147</v>
      </c>
      <c r="E17" s="18"/>
      <c r="F17" s="18"/>
      <c r="G17" s="18"/>
      <c r="H17" s="18"/>
      <c r="I17" s="18"/>
      <c r="J17" s="38" t="s">
        <v>22</v>
      </c>
      <c r="K17" s="38"/>
      <c r="L17" s="38"/>
      <c r="M17" s="24" t="s">
        <v>1</v>
      </c>
      <c r="N17" s="24">
        <f>SQRT(2)*N16</f>
        <v>3.1112698372208096</v>
      </c>
      <c r="O17" s="24" t="s">
        <v>23</v>
      </c>
      <c r="P17" s="18"/>
      <c r="Q17" s="18"/>
      <c r="R17">
        <v>40</v>
      </c>
      <c r="S17">
        <v>33</v>
      </c>
    </row>
    <row r="18" spans="1:19" ht="15.75" x14ac:dyDescent="0.25">
      <c r="A18" s="24" t="s">
        <v>145</v>
      </c>
      <c r="B18" s="24"/>
      <c r="C18" s="19">
        <v>5000</v>
      </c>
      <c r="D18" s="18" t="s">
        <v>147</v>
      </c>
      <c r="F18" s="18"/>
      <c r="G18" s="18"/>
      <c r="H18" s="18"/>
      <c r="I18" s="18"/>
      <c r="J18" s="24"/>
      <c r="K18" s="24"/>
      <c r="L18" s="24"/>
      <c r="M18" s="24"/>
      <c r="N18" s="24"/>
      <c r="O18" s="24"/>
      <c r="P18" s="18"/>
      <c r="Q18" s="18"/>
      <c r="R18">
        <v>45</v>
      </c>
      <c r="S18">
        <v>34</v>
      </c>
    </row>
    <row r="19" spans="1:19" ht="15.75" x14ac:dyDescent="0.25">
      <c r="A19" s="24" t="s">
        <v>144</v>
      </c>
      <c r="B19" s="24" t="s">
        <v>1</v>
      </c>
      <c r="C19" s="19">
        <v>750</v>
      </c>
      <c r="D19" s="18" t="s">
        <v>147</v>
      </c>
      <c r="F19" s="18"/>
      <c r="G19" s="18"/>
      <c r="H19" s="18"/>
      <c r="I19" s="18"/>
      <c r="J19" s="24"/>
      <c r="K19" s="24"/>
      <c r="L19" s="24"/>
      <c r="M19" s="24"/>
      <c r="N19" s="24"/>
      <c r="O19" s="24"/>
      <c r="P19" s="18"/>
      <c r="Q19" s="18"/>
      <c r="R19">
        <v>50</v>
      </c>
      <c r="S19">
        <v>35</v>
      </c>
    </row>
    <row r="20" spans="1:19" ht="15.75" x14ac:dyDescent="0.25">
      <c r="A20" s="24" t="s">
        <v>5</v>
      </c>
      <c r="B20" s="24" t="s">
        <v>1</v>
      </c>
      <c r="C20" s="23">
        <f>SUM(C17,C18,C19)</f>
        <v>8000</v>
      </c>
      <c r="D20" s="18" t="s">
        <v>147</v>
      </c>
      <c r="E20" s="18"/>
      <c r="F20" s="18"/>
      <c r="G20" s="18"/>
      <c r="H20" s="18"/>
      <c r="I20" s="18"/>
      <c r="J20" s="38" t="s">
        <v>24</v>
      </c>
      <c r="K20" s="38"/>
      <c r="L20" s="38"/>
      <c r="M20" s="24" t="s">
        <v>1</v>
      </c>
      <c r="N20" s="24">
        <f>IF(C4="circle",0.52*0.66*N17*N17,1.5*0.52*N17*N17)</f>
        <v>7.5504000000000024</v>
      </c>
      <c r="O20" s="24" t="s">
        <v>149</v>
      </c>
      <c r="P20" s="18"/>
      <c r="Q20" s="18"/>
      <c r="R20">
        <v>55</v>
      </c>
      <c r="S20">
        <v>36</v>
      </c>
    </row>
    <row r="21" spans="1:19" ht="15.7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24"/>
      <c r="K21" s="24"/>
      <c r="L21" s="24"/>
      <c r="M21" s="24"/>
      <c r="N21" s="24"/>
      <c r="O21" s="24"/>
      <c r="P21" s="18"/>
      <c r="Q21" s="18"/>
      <c r="R21">
        <v>60</v>
      </c>
      <c r="S21">
        <v>37</v>
      </c>
    </row>
    <row r="22" spans="1:19" ht="15.7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38" t="s">
        <v>25</v>
      </c>
      <c r="K22" s="38"/>
      <c r="L22" s="38"/>
      <c r="M22" s="24" t="s">
        <v>1</v>
      </c>
      <c r="N22" s="24">
        <f>N20*(COS((M6+20)/180*3.14))^2</f>
        <v>4.4333880986067342</v>
      </c>
      <c r="O22" s="24" t="s">
        <v>149</v>
      </c>
      <c r="P22" s="18"/>
      <c r="Q22" s="18"/>
    </row>
    <row r="23" spans="1:19" ht="15.7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38" t="s">
        <v>26</v>
      </c>
      <c r="K23" s="38"/>
      <c r="L23" s="38"/>
      <c r="M23" s="24" t="s">
        <v>1</v>
      </c>
      <c r="N23" s="24">
        <f>N20*(SIN((M6+20)/180*3.14))^2</f>
        <v>3.1170119013932678</v>
      </c>
      <c r="O23" s="24" t="s">
        <v>149</v>
      </c>
      <c r="P23" s="18"/>
      <c r="Q23" s="18"/>
    </row>
    <row r="24" spans="1:19" ht="15.75" x14ac:dyDescent="0.25">
      <c r="A24" s="43" t="s">
        <v>6</v>
      </c>
      <c r="B24" s="44"/>
      <c r="C24" s="24"/>
      <c r="D24" s="24"/>
      <c r="E24" s="24"/>
      <c r="F24" s="24"/>
      <c r="G24" s="24"/>
      <c r="H24" s="24"/>
      <c r="I24" s="18"/>
      <c r="J24" s="24"/>
      <c r="K24" s="24"/>
      <c r="L24" s="24"/>
      <c r="M24" s="24"/>
      <c r="N24" s="24"/>
      <c r="O24" s="24"/>
      <c r="P24" s="18"/>
      <c r="Q24" s="18"/>
    </row>
    <row r="25" spans="1:19" ht="15.75" x14ac:dyDescent="0.25">
      <c r="A25" s="24" t="s">
        <v>7</v>
      </c>
      <c r="B25" s="24"/>
      <c r="C25" s="24"/>
      <c r="D25" s="24"/>
      <c r="E25" s="24"/>
      <c r="F25" s="24" t="s">
        <v>8</v>
      </c>
      <c r="G25" s="24"/>
      <c r="H25" s="24"/>
      <c r="I25" s="18"/>
      <c r="J25" s="38" t="s">
        <v>27</v>
      </c>
      <c r="K25" s="38"/>
      <c r="L25" s="38"/>
      <c r="M25" s="24" t="s">
        <v>1</v>
      </c>
      <c r="N25" s="32">
        <f>0.5*N10*N22</f>
        <v>15.51685834512357</v>
      </c>
      <c r="O25" s="24" t="s">
        <v>147</v>
      </c>
      <c r="P25" s="18"/>
      <c r="Q25" s="18"/>
    </row>
    <row r="26" spans="1:19" ht="15.75" x14ac:dyDescent="0.25">
      <c r="A26" s="24" t="s">
        <v>9</v>
      </c>
      <c r="B26" s="24"/>
      <c r="C26" s="26">
        <v>700</v>
      </c>
      <c r="D26" s="24" t="s">
        <v>147</v>
      </c>
      <c r="F26" s="24"/>
      <c r="G26" s="24"/>
      <c r="H26" s="24"/>
      <c r="I26" s="18"/>
      <c r="J26" s="38" t="s">
        <v>28</v>
      </c>
      <c r="K26" s="38"/>
      <c r="L26" s="38"/>
      <c r="M26" s="24" t="s">
        <v>1</v>
      </c>
      <c r="N26" s="32">
        <f>0.5*N23*N11</f>
        <v>98.185874893887942</v>
      </c>
      <c r="O26" s="24" t="s">
        <v>147</v>
      </c>
      <c r="P26" s="18"/>
      <c r="Q26" s="18"/>
    </row>
    <row r="27" spans="1:19" ht="15.75" x14ac:dyDescent="0.25">
      <c r="A27" s="24" t="s">
        <v>10</v>
      </c>
      <c r="B27" s="24"/>
      <c r="C27" s="27">
        <f>0.2*C26</f>
        <v>140</v>
      </c>
      <c r="D27" s="24" t="s">
        <v>147</v>
      </c>
      <c r="F27" s="24"/>
      <c r="G27" s="24"/>
      <c r="H27" s="24"/>
      <c r="I27" s="18"/>
      <c r="J27" s="24"/>
      <c r="K27" s="24"/>
      <c r="L27" s="24"/>
      <c r="M27" s="24"/>
      <c r="N27" s="24"/>
      <c r="O27" s="24"/>
      <c r="P27" s="18"/>
      <c r="Q27" s="18"/>
    </row>
    <row r="28" spans="1:19" ht="15.75" x14ac:dyDescent="0.25">
      <c r="A28" s="24" t="s">
        <v>11</v>
      </c>
      <c r="B28" s="24"/>
      <c r="C28" s="26">
        <v>12</v>
      </c>
      <c r="D28" s="24" t="s">
        <v>2</v>
      </c>
      <c r="G28" s="24"/>
      <c r="H28" s="24"/>
      <c r="I28" s="18"/>
      <c r="J28" s="38" t="s">
        <v>130</v>
      </c>
      <c r="K28" s="38"/>
      <c r="L28" s="38"/>
      <c r="M28" s="38"/>
      <c r="N28" s="38"/>
      <c r="O28" s="24"/>
      <c r="P28" s="18"/>
      <c r="Q28" s="18"/>
    </row>
    <row r="29" spans="1:19" ht="15.75" x14ac:dyDescent="0.25">
      <c r="A29" s="24" t="s">
        <v>12</v>
      </c>
      <c r="B29" s="24"/>
      <c r="C29" s="24"/>
      <c r="D29" s="24"/>
      <c r="E29" s="24"/>
      <c r="F29" s="24"/>
      <c r="G29" s="24"/>
      <c r="H29" s="24"/>
      <c r="I29" s="18"/>
      <c r="J29" s="24"/>
      <c r="K29" s="24"/>
      <c r="L29" s="24"/>
      <c r="M29" s="24"/>
      <c r="N29" s="24"/>
      <c r="O29" s="24"/>
      <c r="P29" s="18"/>
      <c r="Q29" s="18"/>
    </row>
    <row r="30" spans="1:19" ht="15.75" x14ac:dyDescent="0.25">
      <c r="A30" s="24" t="s">
        <v>13</v>
      </c>
      <c r="B30" s="24"/>
      <c r="C30" s="27">
        <f>C27*(C28+1.2)</f>
        <v>1848</v>
      </c>
      <c r="D30" s="24" t="s">
        <v>148</v>
      </c>
      <c r="F30" s="24"/>
      <c r="G30" s="24"/>
      <c r="H30" s="24"/>
      <c r="I30" s="18"/>
      <c r="J30" s="24" t="s">
        <v>16</v>
      </c>
      <c r="K30" s="24"/>
      <c r="L30" s="24"/>
      <c r="M30" s="24"/>
      <c r="N30" s="24">
        <f>N9</f>
        <v>7</v>
      </c>
      <c r="O30" s="24" t="s">
        <v>2</v>
      </c>
      <c r="P30" s="18"/>
      <c r="Q30" s="18"/>
    </row>
    <row r="31" spans="1:19" ht="15.75" x14ac:dyDescent="0.25">
      <c r="A31" s="24"/>
      <c r="B31" s="24"/>
      <c r="C31" s="24"/>
      <c r="D31" s="24"/>
      <c r="E31" s="24"/>
      <c r="F31" s="24"/>
      <c r="G31" s="24"/>
      <c r="H31" s="24"/>
      <c r="I31" s="18"/>
      <c r="J31" s="24" t="s">
        <v>29</v>
      </c>
      <c r="K31" s="24"/>
      <c r="L31" s="24"/>
      <c r="M31" s="24"/>
      <c r="N31" s="24">
        <f>IF(C4="circle",3.14*C5*0.5*N30,C5*N30)</f>
        <v>7</v>
      </c>
      <c r="O31" s="24"/>
      <c r="P31" s="18"/>
      <c r="Q31" s="18"/>
    </row>
    <row r="32" spans="1:19" ht="15.7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24" t="s">
        <v>30</v>
      </c>
      <c r="K32" s="24"/>
      <c r="L32" s="24"/>
      <c r="M32" s="24"/>
      <c r="N32" s="24">
        <f>IF(C4="circle",3.14*C5*0.5*N30,C6*N30)</f>
        <v>63</v>
      </c>
      <c r="O32" s="24"/>
      <c r="P32" s="18"/>
      <c r="Q32" s="18"/>
    </row>
    <row r="33" spans="1:17" ht="15.7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24"/>
      <c r="K33" s="24"/>
      <c r="L33" s="24"/>
      <c r="M33" s="24"/>
      <c r="N33" s="24"/>
      <c r="O33" s="24"/>
      <c r="P33" s="18"/>
      <c r="Q33" s="18"/>
    </row>
    <row r="34" spans="1:17" ht="15.75" x14ac:dyDescent="0.25">
      <c r="A34" s="42" t="s">
        <v>14</v>
      </c>
      <c r="B34" s="42"/>
      <c r="C34" s="24"/>
      <c r="D34" s="24"/>
      <c r="E34" s="24"/>
      <c r="F34" s="24"/>
      <c r="G34" s="18"/>
      <c r="H34" s="18"/>
      <c r="I34" s="18"/>
      <c r="J34" s="24"/>
      <c r="K34" s="24"/>
      <c r="L34" s="24"/>
      <c r="M34" s="24"/>
      <c r="N34" s="24"/>
      <c r="O34" s="24"/>
      <c r="P34" s="18"/>
      <c r="Q34" s="18"/>
    </row>
    <row r="35" spans="1:17" ht="15.75" x14ac:dyDescent="0.25">
      <c r="A35" s="24" t="s">
        <v>15</v>
      </c>
      <c r="B35" s="24"/>
      <c r="C35" s="27">
        <f>IF(C4="circle",3.14*C5*C5/4,C5*C6)</f>
        <v>9</v>
      </c>
      <c r="D35" s="24"/>
      <c r="E35" s="24"/>
      <c r="F35" s="24"/>
      <c r="G35" s="18"/>
      <c r="H35" s="18"/>
      <c r="I35" s="18"/>
      <c r="J35" s="24"/>
      <c r="K35" s="24"/>
      <c r="L35" s="24"/>
      <c r="M35" s="24"/>
      <c r="N35" s="24"/>
      <c r="O35" s="24"/>
      <c r="P35" s="18"/>
      <c r="Q35" s="18"/>
    </row>
    <row r="36" spans="1:17" ht="15.75" x14ac:dyDescent="0.25">
      <c r="A36" s="25" t="s">
        <v>16</v>
      </c>
      <c r="B36" s="25"/>
      <c r="C36" s="28">
        <v>7</v>
      </c>
      <c r="D36" s="24" t="s">
        <v>2</v>
      </c>
      <c r="G36" s="18"/>
      <c r="H36" s="18"/>
      <c r="I36" s="18"/>
      <c r="J36" s="24" t="s">
        <v>21</v>
      </c>
      <c r="K36" s="24"/>
      <c r="L36" s="24"/>
      <c r="M36" s="24" t="s">
        <v>1</v>
      </c>
      <c r="N36" s="24">
        <f>N16</f>
        <v>2.2000000000000002</v>
      </c>
      <c r="O36" s="24" t="s">
        <v>23</v>
      </c>
      <c r="P36" s="18"/>
      <c r="Q36" s="18"/>
    </row>
    <row r="37" spans="1:17" ht="15.75" x14ac:dyDescent="0.25">
      <c r="A37" s="25" t="s">
        <v>17</v>
      </c>
      <c r="B37" s="25"/>
      <c r="C37" s="24">
        <f>C36*C35</f>
        <v>63</v>
      </c>
      <c r="D37" s="24"/>
      <c r="G37" s="18"/>
      <c r="H37" s="18"/>
      <c r="I37" s="18"/>
      <c r="J37" s="24" t="s">
        <v>22</v>
      </c>
      <c r="K37" s="24"/>
      <c r="L37" s="24"/>
      <c r="M37" s="24" t="s">
        <v>1</v>
      </c>
      <c r="N37" s="24">
        <f>SQRT(2)*N36</f>
        <v>3.1112698372208096</v>
      </c>
      <c r="O37" s="24" t="s">
        <v>23</v>
      </c>
      <c r="P37" s="18"/>
      <c r="Q37" s="18"/>
    </row>
    <row r="38" spans="1:17" ht="15.75" x14ac:dyDescent="0.25">
      <c r="A38" s="25" t="s">
        <v>18</v>
      </c>
      <c r="B38" s="25"/>
      <c r="C38" s="27">
        <f>-C37*10</f>
        <v>-630</v>
      </c>
      <c r="D38" s="24" t="s">
        <v>147</v>
      </c>
      <c r="G38" s="18"/>
      <c r="H38" s="18"/>
      <c r="I38" s="18"/>
      <c r="J38" s="24"/>
      <c r="K38" s="24"/>
      <c r="L38" s="24"/>
      <c r="M38" s="24"/>
      <c r="N38" s="24"/>
      <c r="O38" s="24"/>
      <c r="P38" s="18"/>
      <c r="Q38" s="18"/>
    </row>
    <row r="39" spans="1:17" ht="15.75" x14ac:dyDescent="0.25">
      <c r="A39" s="24"/>
      <c r="B39" s="24"/>
      <c r="C39" s="24"/>
      <c r="D39" s="24"/>
      <c r="E39" s="24"/>
      <c r="F39" s="24"/>
      <c r="G39" s="18"/>
      <c r="H39" s="18"/>
      <c r="I39" s="18"/>
      <c r="J39" s="24"/>
      <c r="K39" s="24"/>
      <c r="L39" s="24"/>
      <c r="M39" s="24"/>
      <c r="N39" s="24"/>
      <c r="O39" s="24"/>
      <c r="P39" s="18"/>
      <c r="Q39" s="18"/>
    </row>
    <row r="40" spans="1:17" ht="15.7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24" t="s">
        <v>24</v>
      </c>
      <c r="K40" s="24"/>
      <c r="L40" s="24"/>
      <c r="M40" s="24" t="s">
        <v>1</v>
      </c>
      <c r="N40" s="24">
        <f>IF(C4="circle",0.52*0.66*N37*N37,1.5*0.52*N37*N37)</f>
        <v>7.5504000000000024</v>
      </c>
      <c r="O40" s="24" t="s">
        <v>149</v>
      </c>
      <c r="P40" s="18"/>
      <c r="Q40" s="18"/>
    </row>
    <row r="41" spans="1:17" ht="15.7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24"/>
      <c r="K41" s="24"/>
      <c r="L41" s="24"/>
      <c r="M41" s="24"/>
      <c r="N41" s="24"/>
      <c r="O41" s="24"/>
      <c r="P41" s="18"/>
      <c r="Q41" s="18"/>
    </row>
    <row r="42" spans="1:17" ht="15.7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24" t="s">
        <v>25</v>
      </c>
      <c r="K42" s="24"/>
      <c r="L42" s="24"/>
      <c r="M42" s="24" t="s">
        <v>1</v>
      </c>
      <c r="N42" s="24">
        <f>N40*(COS((M6-20)/180*3.14))^2</f>
        <v>7.5504000000000024</v>
      </c>
      <c r="O42" s="24" t="s">
        <v>149</v>
      </c>
      <c r="P42" s="18"/>
      <c r="Q42" s="18"/>
    </row>
    <row r="43" spans="1:17" ht="15.7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24" t="s">
        <v>26</v>
      </c>
      <c r="K43" s="24"/>
      <c r="L43" s="24"/>
      <c r="M43" s="24" t="s">
        <v>1</v>
      </c>
      <c r="N43" s="24">
        <f>N40*(SIN((M6-20)/180*3.14))^2</f>
        <v>0</v>
      </c>
      <c r="O43" s="24" t="s">
        <v>149</v>
      </c>
      <c r="P43" s="18"/>
      <c r="Q43" s="18"/>
    </row>
    <row r="44" spans="1:17" ht="15.7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24"/>
      <c r="K44" s="24"/>
      <c r="L44" s="24"/>
      <c r="M44" s="24"/>
      <c r="N44" s="24"/>
      <c r="O44" s="24"/>
      <c r="P44" s="18"/>
      <c r="Q44" s="18"/>
    </row>
    <row r="45" spans="1:17" ht="15.7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24" t="s">
        <v>27</v>
      </c>
      <c r="K45" s="24"/>
      <c r="L45" s="24"/>
      <c r="M45" s="24" t="s">
        <v>1</v>
      </c>
      <c r="N45" s="32">
        <f>0.5*N31*N42</f>
        <v>26.426400000000008</v>
      </c>
      <c r="O45" s="24" t="s">
        <v>147</v>
      </c>
      <c r="P45" s="18"/>
      <c r="Q45" s="18"/>
    </row>
    <row r="46" spans="1:17" ht="15.7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24" t="s">
        <v>28</v>
      </c>
      <c r="K46" s="24"/>
      <c r="L46" s="24"/>
      <c r="M46" s="24" t="s">
        <v>1</v>
      </c>
      <c r="N46" s="32">
        <f>0.5*N43*N32</f>
        <v>0</v>
      </c>
      <c r="O46" s="24" t="s">
        <v>147</v>
      </c>
      <c r="P46" s="18"/>
      <c r="Q46" s="18"/>
    </row>
    <row r="47" spans="1:17" ht="15.7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46" t="str">
        <f>"FORCE ACT @" &amp;ROUNDUP(N30/3,2)&amp;" FROM BASE"</f>
        <v>FORCE ACT @2.34 FROM BASE</v>
      </c>
      <c r="K47" s="46"/>
      <c r="L47" s="46"/>
      <c r="M47" s="46"/>
      <c r="N47" s="46"/>
      <c r="O47" s="46"/>
      <c r="P47" s="18"/>
      <c r="Q47" s="18"/>
    </row>
    <row r="48" spans="1:17" ht="15.7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</row>
    <row r="49" spans="1:17" ht="15.75" x14ac:dyDescent="0.25">
      <c r="A49" s="43" t="s">
        <v>31</v>
      </c>
      <c r="B49" s="45"/>
      <c r="C49" s="44"/>
      <c r="D49" s="18"/>
      <c r="E49" s="18"/>
      <c r="F49" s="18"/>
      <c r="G49" s="18"/>
      <c r="H49" s="18"/>
      <c r="I49" s="18"/>
      <c r="J49" s="42" t="s">
        <v>42</v>
      </c>
      <c r="K49" s="42"/>
      <c r="L49" s="42"/>
      <c r="M49" s="24"/>
      <c r="N49" s="24"/>
      <c r="O49" s="24"/>
      <c r="P49" s="18"/>
      <c r="Q49" s="18"/>
    </row>
    <row r="50" spans="1:17" ht="15.7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24"/>
      <c r="K50" s="24"/>
      <c r="L50" s="24"/>
      <c r="M50" s="24"/>
      <c r="N50" s="24"/>
      <c r="O50" s="24"/>
      <c r="P50" s="18"/>
      <c r="Q50" s="18"/>
    </row>
    <row r="51" spans="1:17" ht="15.7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24" t="s">
        <v>48</v>
      </c>
      <c r="K51" s="24"/>
      <c r="L51" s="27">
        <f>C18+C19+C17/3</f>
        <v>6500</v>
      </c>
      <c r="M51" s="24" t="s">
        <v>151</v>
      </c>
      <c r="N51" s="24"/>
      <c r="O51" s="24"/>
      <c r="P51" s="18"/>
      <c r="Q51" s="18"/>
    </row>
    <row r="52" spans="1:17" ht="15.75" x14ac:dyDescent="0.25">
      <c r="A52" s="18" t="s">
        <v>32</v>
      </c>
      <c r="B52" s="18"/>
      <c r="C52" s="18" t="s">
        <v>1</v>
      </c>
      <c r="D52" s="18">
        <f>C7</f>
        <v>10</v>
      </c>
      <c r="E52" s="18" t="s">
        <v>2</v>
      </c>
      <c r="F52" s="18"/>
      <c r="G52" s="18"/>
      <c r="H52" s="18"/>
      <c r="I52" s="18"/>
      <c r="J52" s="38" t="s">
        <v>66</v>
      </c>
      <c r="K52" s="38"/>
      <c r="L52" s="38"/>
      <c r="M52" s="26">
        <v>500</v>
      </c>
      <c r="N52" s="24" t="s">
        <v>147</v>
      </c>
      <c r="O52" s="24"/>
      <c r="P52" s="18"/>
      <c r="Q52" s="18"/>
    </row>
    <row r="53" spans="1:17" ht="15.7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38"/>
      <c r="K53" s="38"/>
      <c r="L53" s="38"/>
      <c r="M53" s="24"/>
      <c r="N53" s="24"/>
      <c r="O53" s="24"/>
      <c r="P53" s="18"/>
      <c r="Q53" s="18"/>
    </row>
    <row r="54" spans="1:17" ht="15.75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24"/>
      <c r="K54" s="24"/>
      <c r="L54" s="24" t="s">
        <v>50</v>
      </c>
      <c r="M54" s="24" t="s">
        <v>51</v>
      </c>
      <c r="N54" s="24"/>
      <c r="O54" s="24"/>
      <c r="P54" s="18"/>
      <c r="Q54" s="18"/>
    </row>
    <row r="55" spans="1:17" ht="15.75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24" t="s">
        <v>49</v>
      </c>
      <c r="K55" s="24" t="s">
        <v>1</v>
      </c>
      <c r="L55" s="24">
        <f>IF(C4="circle",3.14*C5^4/64,C5*C6^3/12)</f>
        <v>60.75</v>
      </c>
      <c r="M55" s="24">
        <f>IF(C4="circle",3.14*C5^4/64,C6*C5^3/12)</f>
        <v>0.75</v>
      </c>
      <c r="N55" s="24" t="s">
        <v>150</v>
      </c>
      <c r="O55" s="24"/>
      <c r="P55" s="18"/>
      <c r="Q55" s="18"/>
    </row>
    <row r="56" spans="1:17" ht="15.75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24" t="s">
        <v>52</v>
      </c>
      <c r="K56" s="24" t="s">
        <v>1</v>
      </c>
      <c r="L56" s="24">
        <f>0.75*L55</f>
        <v>45.5625</v>
      </c>
      <c r="M56" s="24">
        <f>0.75*M55</f>
        <v>0.5625</v>
      </c>
      <c r="N56" s="24" t="s">
        <v>150</v>
      </c>
      <c r="O56" s="24"/>
      <c r="P56" s="18"/>
      <c r="Q56" s="18"/>
    </row>
    <row r="57" spans="1:17" ht="15.75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24"/>
      <c r="K57" s="24"/>
      <c r="L57" s="24"/>
      <c r="M57" s="24"/>
      <c r="N57" s="24"/>
      <c r="O57" s="24"/>
      <c r="P57" s="18"/>
      <c r="Q57" s="18"/>
    </row>
    <row r="58" spans="1:17" ht="15.75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38" t="s">
        <v>58</v>
      </c>
      <c r="K58" s="38"/>
      <c r="L58" s="24" t="s">
        <v>1</v>
      </c>
      <c r="M58" s="24">
        <f>(L51/9.81*1000)</f>
        <v>662589.19469928637</v>
      </c>
      <c r="N58" s="24" t="s">
        <v>60</v>
      </c>
      <c r="O58" s="24"/>
      <c r="P58" s="18"/>
      <c r="Q58" s="18"/>
    </row>
    <row r="59" spans="1:17" ht="15.75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38" t="s">
        <v>59</v>
      </c>
      <c r="K59" s="38"/>
      <c r="L59" s="24" t="s">
        <v>1</v>
      </c>
      <c r="M59" s="24">
        <f>M58+(M52*1000/9.81)</f>
        <v>713557.59429153916</v>
      </c>
      <c r="N59" s="24" t="s">
        <v>60</v>
      </c>
      <c r="O59" s="24"/>
      <c r="P59" s="18"/>
      <c r="Q59" s="18"/>
    </row>
    <row r="60" spans="1:17" ht="15.7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24" t="s">
        <v>57</v>
      </c>
      <c r="K60" s="24" t="s">
        <v>1</v>
      </c>
      <c r="L60" s="24">
        <f>3*C12*1000*M56*10^12/(C7*1000)^3</f>
        <v>52312.5</v>
      </c>
      <c r="M60" s="24" t="s">
        <v>61</v>
      </c>
      <c r="N60" s="24"/>
      <c r="O60" s="24"/>
      <c r="P60" s="18"/>
      <c r="Q60" s="18"/>
    </row>
    <row r="61" spans="1:17" ht="15.7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24" t="s">
        <v>56</v>
      </c>
      <c r="K61" s="24" t="s">
        <v>1</v>
      </c>
      <c r="L61" s="24">
        <f>3*C12*1000*L56*10^12/(C7*1000)^3</f>
        <v>4237312.5</v>
      </c>
      <c r="M61" s="24" t="s">
        <v>61</v>
      </c>
      <c r="N61" s="24"/>
      <c r="O61" s="24"/>
      <c r="P61" s="18"/>
      <c r="Q61" s="18"/>
    </row>
    <row r="62" spans="1:17" ht="15.7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24"/>
      <c r="K62" s="24" t="s">
        <v>62</v>
      </c>
      <c r="L62" s="29" t="s">
        <v>65</v>
      </c>
      <c r="M62" s="24"/>
      <c r="N62" s="24"/>
      <c r="O62" s="24"/>
      <c r="P62" s="18"/>
      <c r="Q62" s="18"/>
    </row>
    <row r="63" spans="1:17" ht="15.7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24" t="s">
        <v>63</v>
      </c>
      <c r="K63" s="24">
        <f>2*3.14*SQRT(M58/(L60*1000))</f>
        <v>0.70677158477557722</v>
      </c>
      <c r="L63" s="33">
        <v>0.71</v>
      </c>
      <c r="M63" s="24"/>
      <c r="N63" s="24"/>
      <c r="O63" s="24"/>
      <c r="P63" s="18"/>
      <c r="Q63" s="18"/>
    </row>
    <row r="64" spans="1:17" ht="15.7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24" t="s">
        <v>64</v>
      </c>
      <c r="K64" s="24">
        <f>2*3.14*SQRT(M59/(1000*L61))</f>
        <v>8.149461510561469E-2</v>
      </c>
      <c r="L64" s="33">
        <v>0.67</v>
      </c>
      <c r="M64" s="24"/>
      <c r="N64" s="24"/>
      <c r="O64" s="24"/>
      <c r="P64" s="18"/>
      <c r="Q64" s="18"/>
    </row>
    <row r="65" spans="1:17" ht="15.75" x14ac:dyDescent="0.25">
      <c r="A65" s="17" t="s">
        <v>33</v>
      </c>
      <c r="B65" s="17"/>
      <c r="C65" s="20">
        <v>44</v>
      </c>
      <c r="D65" s="18" t="s">
        <v>34</v>
      </c>
      <c r="G65" s="18"/>
      <c r="H65" s="18"/>
      <c r="I65" s="18"/>
      <c r="J65" s="24"/>
      <c r="K65" s="24"/>
      <c r="L65" s="24"/>
      <c r="M65" s="24"/>
      <c r="N65" s="24"/>
      <c r="O65" s="24"/>
      <c r="P65" s="18"/>
      <c r="Q65" s="18"/>
    </row>
    <row r="66" spans="1:17" ht="15.75" x14ac:dyDescent="0.25">
      <c r="A66" s="17" t="str">
        <f>"Pz at height " &amp;D52&amp;" m"</f>
        <v>Pz at height 10 m</v>
      </c>
      <c r="B66" s="17"/>
      <c r="C66" s="20">
        <v>463</v>
      </c>
      <c r="D66" s="18" t="s">
        <v>35</v>
      </c>
      <c r="G66" s="18"/>
      <c r="H66" s="18"/>
      <c r="I66" s="18"/>
      <c r="J66" s="38" t="s">
        <v>53</v>
      </c>
      <c r="K66" s="38"/>
      <c r="L66" s="33">
        <v>3</v>
      </c>
      <c r="M66" s="34"/>
      <c r="N66" s="24"/>
      <c r="O66" s="24"/>
      <c r="P66" s="18"/>
      <c r="Q66" s="18"/>
    </row>
    <row r="67" spans="1:17" ht="15.75" x14ac:dyDescent="0.25">
      <c r="A67" s="17" t="str">
        <f>"Pz for " &amp;C65&amp;" m/s"</f>
        <v>Pz for 44 m/s</v>
      </c>
      <c r="B67" s="17"/>
      <c r="C67" s="23">
        <f>C65*C65/(33*33)*C66</f>
        <v>823.11111111111109</v>
      </c>
      <c r="D67" s="18" t="s">
        <v>35</v>
      </c>
      <c r="G67" s="18"/>
      <c r="H67" s="18"/>
      <c r="I67" s="18"/>
      <c r="J67" s="38" t="s">
        <v>54</v>
      </c>
      <c r="K67" s="38"/>
      <c r="L67" s="33">
        <v>1.2</v>
      </c>
      <c r="M67" s="34"/>
      <c r="N67" s="24"/>
      <c r="O67" s="24"/>
      <c r="P67" s="18"/>
      <c r="Q67" s="18"/>
    </row>
    <row r="68" spans="1:17" ht="15.75" x14ac:dyDescent="0.25">
      <c r="A68" s="17" t="s">
        <v>36</v>
      </c>
      <c r="B68" s="17"/>
      <c r="C68" s="18">
        <f>IF(C4="circle",C5*C7,C5*C7)</f>
        <v>10</v>
      </c>
      <c r="D68" s="18"/>
      <c r="G68" s="18"/>
      <c r="H68" s="18"/>
      <c r="I68" s="18"/>
      <c r="J68" s="38" t="s">
        <v>55</v>
      </c>
      <c r="K68" s="38"/>
      <c r="L68" s="33">
        <v>0.16</v>
      </c>
      <c r="M68" s="34"/>
      <c r="N68" s="24"/>
      <c r="O68" s="24"/>
      <c r="P68" s="18"/>
      <c r="Q68" s="18"/>
    </row>
    <row r="69" spans="1:17" ht="15.75" x14ac:dyDescent="0.25">
      <c r="A69" s="17" t="s">
        <v>37</v>
      </c>
      <c r="B69" s="17"/>
      <c r="C69" s="18">
        <v>2</v>
      </c>
      <c r="D69" s="18"/>
      <c r="G69" s="18"/>
      <c r="H69" s="18"/>
      <c r="I69" s="18"/>
      <c r="J69" s="24"/>
      <c r="K69" s="24"/>
      <c r="L69" s="24"/>
      <c r="M69" s="24"/>
      <c r="N69" s="24"/>
      <c r="O69" s="24"/>
      <c r="P69" s="18"/>
      <c r="Q69" s="18"/>
    </row>
    <row r="70" spans="1:17" ht="15.75" x14ac:dyDescent="0.25">
      <c r="A70" s="17" t="s">
        <v>38</v>
      </c>
      <c r="B70" s="17"/>
      <c r="C70" s="30">
        <f>IF(C4="circle","-",C6/C5)</f>
        <v>9</v>
      </c>
      <c r="D70" s="18"/>
      <c r="G70" s="18"/>
      <c r="H70" s="18"/>
      <c r="I70" s="18"/>
      <c r="J70" s="24"/>
      <c r="K70" s="24"/>
      <c r="L70" s="24"/>
      <c r="M70" s="24"/>
      <c r="N70" s="24"/>
      <c r="O70" s="24"/>
      <c r="P70" s="18"/>
      <c r="Q70" s="18"/>
    </row>
    <row r="71" spans="1:17" ht="15.75" x14ac:dyDescent="0.25">
      <c r="A71" s="17" t="s">
        <v>39</v>
      </c>
      <c r="B71" s="17"/>
      <c r="C71" s="30">
        <f>IF(C4="circle",C7/C5,C7/C5)</f>
        <v>10</v>
      </c>
      <c r="D71" s="18"/>
      <c r="G71" s="18"/>
      <c r="H71" s="18"/>
      <c r="I71" s="18"/>
      <c r="J71" s="24"/>
      <c r="K71" s="24"/>
      <c r="L71" s="24"/>
      <c r="M71" s="24"/>
      <c r="N71" s="24"/>
      <c r="O71" s="24"/>
      <c r="P71" s="18"/>
      <c r="Q71" s="18"/>
    </row>
    <row r="72" spans="1:17" ht="15.75" x14ac:dyDescent="0.25">
      <c r="A72" s="17" t="s">
        <v>40</v>
      </c>
      <c r="B72" s="17"/>
      <c r="C72" s="20">
        <v>0.9</v>
      </c>
      <c r="D72" s="18"/>
      <c r="G72" s="18"/>
      <c r="H72" s="18"/>
      <c r="I72" s="18"/>
      <c r="J72" s="24" t="s">
        <v>67</v>
      </c>
      <c r="K72" s="29" t="s">
        <v>1</v>
      </c>
      <c r="L72" s="32">
        <f>L51*(L68*0.5*L67/L66*L63)</f>
        <v>147.68</v>
      </c>
      <c r="M72" s="24" t="s">
        <v>147</v>
      </c>
      <c r="N72" s="24">
        <f>(L68*0.5*L67/L66*L63)</f>
        <v>2.2720000000000001E-2</v>
      </c>
      <c r="O72" s="24"/>
      <c r="P72" s="18"/>
      <c r="Q72" s="18"/>
    </row>
    <row r="73" spans="1:17" ht="15.7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24" t="s">
        <v>68</v>
      </c>
      <c r="K73" s="29" t="s">
        <v>1</v>
      </c>
      <c r="L73" s="32">
        <f>(L51+M52)*(0.5*L68*L67/L66*L64)</f>
        <v>150.08000000000001</v>
      </c>
      <c r="M73" s="24" t="s">
        <v>147</v>
      </c>
      <c r="N73" s="24"/>
      <c r="O73" s="24"/>
      <c r="P73" s="18"/>
      <c r="Q73" s="18"/>
    </row>
    <row r="74" spans="1:17" ht="15.7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24"/>
      <c r="K74" s="24"/>
      <c r="L74" s="24"/>
      <c r="M74" s="24"/>
      <c r="N74" s="24"/>
      <c r="O74" s="24"/>
      <c r="P74" s="18"/>
      <c r="Q74" s="18"/>
    </row>
    <row r="75" spans="1:17" ht="15.75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24" t="s">
        <v>69</v>
      </c>
      <c r="K75" s="24" t="s">
        <v>1</v>
      </c>
      <c r="L75" s="32">
        <f>L73*C7</f>
        <v>1500.8000000000002</v>
      </c>
      <c r="M75" s="24" t="s">
        <v>148</v>
      </c>
      <c r="N75" s="24"/>
      <c r="O75" s="24"/>
      <c r="P75" s="18"/>
      <c r="Q75" s="18"/>
    </row>
    <row r="76" spans="1:17" ht="15.75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24" t="s">
        <v>70</v>
      </c>
      <c r="K76" s="24" t="s">
        <v>1</v>
      </c>
      <c r="L76" s="32">
        <f>L72*C7</f>
        <v>1476.8000000000002</v>
      </c>
      <c r="M76" s="24" t="s">
        <v>148</v>
      </c>
      <c r="N76" s="24"/>
      <c r="O76" s="24"/>
      <c r="P76" s="18"/>
      <c r="Q76" s="18"/>
    </row>
    <row r="77" spans="1:17" ht="15.75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24"/>
      <c r="K77" s="24"/>
      <c r="L77" s="24"/>
      <c r="M77" s="24"/>
      <c r="N77" s="24"/>
      <c r="O77" s="24"/>
      <c r="P77" s="18"/>
      <c r="Q77" s="18"/>
    </row>
    <row r="78" spans="1:17" ht="15.75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24"/>
      <c r="K78" s="24"/>
      <c r="L78" s="24"/>
      <c r="M78" s="24"/>
      <c r="N78" s="24"/>
      <c r="O78" s="24"/>
      <c r="P78" s="18"/>
      <c r="Q78" s="18"/>
    </row>
    <row r="79" spans="1:17" ht="15.75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24"/>
      <c r="K79" s="24"/>
      <c r="L79" s="24"/>
      <c r="M79" s="24"/>
      <c r="N79" s="24"/>
      <c r="O79" s="24"/>
      <c r="P79" s="18"/>
      <c r="Q79" s="18"/>
    </row>
    <row r="80" spans="1:17" ht="15.75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</row>
    <row r="81" spans="1:17" ht="15.75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</row>
    <row r="82" spans="1:17" ht="15.75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</row>
    <row r="83" spans="1:17" ht="15.75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</row>
    <row r="84" spans="1:17" ht="15.75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</row>
    <row r="85" spans="1:17" ht="15.75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</row>
    <row r="86" spans="1:17" ht="15.75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</row>
    <row r="87" spans="1:17" ht="15.75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</row>
    <row r="88" spans="1:17" ht="15.75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</row>
    <row r="89" spans="1:17" ht="15.75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</row>
    <row r="90" spans="1:17" ht="15.75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</row>
    <row r="91" spans="1:17" ht="15.75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</row>
    <row r="92" spans="1:17" ht="15.75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</row>
    <row r="93" spans="1:17" ht="15.75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</row>
    <row r="94" spans="1:17" ht="15.75" x14ac:dyDescent="0.25">
      <c r="A94" s="18"/>
      <c r="B94" s="18"/>
      <c r="C94" s="18" t="s">
        <v>1</v>
      </c>
      <c r="D94" s="18">
        <f>C72*C67*C69*C68</f>
        <v>14816</v>
      </c>
      <c r="E94" s="18" t="s">
        <v>41</v>
      </c>
      <c r="F94" s="23">
        <f>D94/1000</f>
        <v>14.816000000000001</v>
      </c>
      <c r="G94" s="18" t="s">
        <v>147</v>
      </c>
      <c r="H94" s="18"/>
      <c r="I94" s="18"/>
      <c r="J94" s="18"/>
      <c r="K94" s="18"/>
      <c r="L94" s="18"/>
      <c r="M94" s="18"/>
      <c r="N94" s="18"/>
      <c r="O94" s="18"/>
      <c r="P94" s="18"/>
      <c r="Q94" s="18"/>
    </row>
    <row r="95" spans="1:17" ht="15.75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</row>
  </sheetData>
  <mergeCells count="31">
    <mergeCell ref="J52:L52"/>
    <mergeCell ref="J66:K66"/>
    <mergeCell ref="J67:K67"/>
    <mergeCell ref="J68:K68"/>
    <mergeCell ref="J58:K58"/>
    <mergeCell ref="J59:K59"/>
    <mergeCell ref="J53:L53"/>
    <mergeCell ref="A34:B34"/>
    <mergeCell ref="A49:C49"/>
    <mergeCell ref="J17:L17"/>
    <mergeCell ref="J20:L20"/>
    <mergeCell ref="J22:L22"/>
    <mergeCell ref="J47:O47"/>
    <mergeCell ref="J49:L49"/>
    <mergeCell ref="J26:L26"/>
    <mergeCell ref="A1:I1"/>
    <mergeCell ref="J23:L23"/>
    <mergeCell ref="J25:L25"/>
    <mergeCell ref="J11:M11"/>
    <mergeCell ref="J28:N28"/>
    <mergeCell ref="J7:N7"/>
    <mergeCell ref="A2:D2"/>
    <mergeCell ref="J4:L4"/>
    <mergeCell ref="J6:L6"/>
    <mergeCell ref="J9:M9"/>
    <mergeCell ref="J10:M10"/>
    <mergeCell ref="J16:L16"/>
    <mergeCell ref="A16:B16"/>
    <mergeCell ref="A24:B24"/>
    <mergeCell ref="A3:B3"/>
    <mergeCell ref="A12:B12"/>
  </mergeCells>
  <dataValidations count="1">
    <dataValidation type="list" allowBlank="1" showInputMessage="1" showErrorMessage="1" sqref="C4">
      <formula1>"circle,rectangle"</formula1>
    </dataValidation>
  </dataValidations>
  <pageMargins left="1.4960629921259843" right="0.78740157480314965" top="0.98425196850393704" bottom="1.2598425196850394" header="0.31496062992125984" footer="0.31496062992125984"/>
  <pageSetup scale="80" orientation="portrait" r:id="rId1"/>
  <rowBreaks count="1" manualBreakCount="1">
    <brk id="47" max="16383" man="1"/>
  </rowBreaks>
  <colBreaks count="1" manualBreakCount="1">
    <brk id="9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1"/>
  <sheetViews>
    <sheetView view="pageBreakPreview" topLeftCell="A28" zoomScaleNormal="100" zoomScaleSheetLayoutView="100" workbookViewId="0">
      <selection activeCell="F48" sqref="F48"/>
    </sheetView>
  </sheetViews>
  <sheetFormatPr defaultRowHeight="15" x14ac:dyDescent="0.25"/>
  <cols>
    <col min="1" max="1" width="23.28515625" customWidth="1"/>
    <col min="3" max="3" width="12" bestFit="1" customWidth="1"/>
  </cols>
  <sheetData>
    <row r="1" spans="1:7" ht="27.75" customHeight="1" x14ac:dyDescent="0.3">
      <c r="A1" s="50" t="s">
        <v>136</v>
      </c>
      <c r="B1" s="51"/>
      <c r="C1" s="51"/>
      <c r="D1" s="51"/>
      <c r="E1" s="51"/>
      <c r="F1" s="51"/>
      <c r="G1" s="51"/>
    </row>
    <row r="2" spans="1:7" ht="15.75" x14ac:dyDescent="0.25">
      <c r="A2" s="24" t="s">
        <v>105</v>
      </c>
      <c r="B2" t="s">
        <v>1</v>
      </c>
      <c r="C2" s="2">
        <v>8000</v>
      </c>
      <c r="D2" t="s">
        <v>147</v>
      </c>
    </row>
    <row r="3" spans="1:7" ht="15.75" x14ac:dyDescent="0.25">
      <c r="A3" s="24" t="s">
        <v>114</v>
      </c>
      <c r="B3" t="s">
        <v>1</v>
      </c>
      <c r="C3" s="2">
        <v>1000</v>
      </c>
      <c r="D3" t="s">
        <v>148</v>
      </c>
    </row>
    <row r="4" spans="1:7" ht="15.75" x14ac:dyDescent="0.25">
      <c r="A4" s="24" t="s">
        <v>113</v>
      </c>
      <c r="B4" t="s">
        <v>1</v>
      </c>
      <c r="C4" s="2">
        <v>2500</v>
      </c>
      <c r="D4" t="s">
        <v>148</v>
      </c>
    </row>
    <row r="5" spans="1:7" ht="15.75" x14ac:dyDescent="0.25">
      <c r="A5" s="24" t="s">
        <v>107</v>
      </c>
      <c r="B5" t="s">
        <v>1</v>
      </c>
      <c r="C5" s="2">
        <v>1</v>
      </c>
      <c r="D5" t="s">
        <v>2</v>
      </c>
    </row>
    <row r="6" spans="1:7" ht="15.75" x14ac:dyDescent="0.25">
      <c r="A6" s="24" t="s">
        <v>106</v>
      </c>
      <c r="B6" t="s">
        <v>1</v>
      </c>
      <c r="C6" s="2">
        <v>9</v>
      </c>
      <c r="D6" t="s">
        <v>2</v>
      </c>
    </row>
    <row r="7" spans="1:7" ht="15.75" x14ac:dyDescent="0.25">
      <c r="A7" s="24" t="s">
        <v>108</v>
      </c>
      <c r="B7" t="s">
        <v>1</v>
      </c>
      <c r="C7" s="4">
        <v>0.5</v>
      </c>
      <c r="D7" t="s">
        <v>74</v>
      </c>
    </row>
    <row r="8" spans="1:7" ht="15.75" x14ac:dyDescent="0.25">
      <c r="A8" s="24" t="s">
        <v>75</v>
      </c>
      <c r="B8" t="s">
        <v>1</v>
      </c>
      <c r="C8">
        <f>C7*C5*C6*10000</f>
        <v>45000</v>
      </c>
      <c r="D8" t="s">
        <v>76</v>
      </c>
    </row>
    <row r="9" spans="1:7" ht="15.75" x14ac:dyDescent="0.25">
      <c r="A9" s="24" t="s">
        <v>109</v>
      </c>
      <c r="B9" t="s">
        <v>1</v>
      </c>
      <c r="C9" s="1">
        <v>25</v>
      </c>
      <c r="D9" t="s">
        <v>77</v>
      </c>
    </row>
    <row r="10" spans="1:7" ht="15.75" x14ac:dyDescent="0.25">
      <c r="A10" s="24" t="s">
        <v>110</v>
      </c>
      <c r="B10" t="s">
        <v>1</v>
      </c>
      <c r="C10">
        <f>C8/(3.14*0.25*C9*C9)</f>
        <v>91.71974522292993</v>
      </c>
    </row>
    <row r="11" spans="1:7" ht="15.75" x14ac:dyDescent="0.25">
      <c r="A11" s="24" t="s">
        <v>111</v>
      </c>
      <c r="B11" t="s">
        <v>1</v>
      </c>
      <c r="C11" s="4">
        <v>92</v>
      </c>
    </row>
    <row r="12" spans="1:7" ht="15.75" x14ac:dyDescent="0.25">
      <c r="A12" s="35" t="s">
        <v>112</v>
      </c>
    </row>
    <row r="16" spans="1:7" x14ac:dyDescent="0.25">
      <c r="D16" t="s">
        <v>1</v>
      </c>
      <c r="E16" s="1">
        <v>8</v>
      </c>
    </row>
    <row r="17" spans="1:8" x14ac:dyDescent="0.25">
      <c r="D17" t="s">
        <v>1</v>
      </c>
      <c r="E17">
        <f>0.5*C11-E16</f>
        <v>38</v>
      </c>
    </row>
    <row r="18" spans="1:8" x14ac:dyDescent="0.25">
      <c r="C18" t="s">
        <v>123</v>
      </c>
      <c r="D18" t="s">
        <v>1</v>
      </c>
      <c r="E18" s="1">
        <v>75</v>
      </c>
    </row>
    <row r="19" spans="1:8" x14ac:dyDescent="0.25">
      <c r="C19" t="s">
        <v>124</v>
      </c>
      <c r="D19" t="s">
        <v>1</v>
      </c>
      <c r="E19" s="1">
        <v>95</v>
      </c>
      <c r="F19" s="49" t="s">
        <v>121</v>
      </c>
      <c r="G19" s="49"/>
      <c r="H19" s="49"/>
    </row>
    <row r="20" spans="1:8" x14ac:dyDescent="0.25">
      <c r="C20" t="s">
        <v>124</v>
      </c>
      <c r="D20" t="s">
        <v>1</v>
      </c>
      <c r="E20" s="1">
        <v>232</v>
      </c>
      <c r="F20" s="49" t="s">
        <v>122</v>
      </c>
      <c r="G20" s="49"/>
      <c r="H20" s="49"/>
    </row>
    <row r="25" spans="1:8" x14ac:dyDescent="0.25">
      <c r="A25" t="s">
        <v>115</v>
      </c>
    </row>
    <row r="26" spans="1:8" x14ac:dyDescent="0.25">
      <c r="B26" t="s">
        <v>1</v>
      </c>
      <c r="C26">
        <f>Sheet1!C8/SQRT(Sheet1!C6/12)</f>
        <v>16.165807537309522</v>
      </c>
      <c r="F26" t="s">
        <v>1</v>
      </c>
      <c r="G26">
        <f>C3/C2</f>
        <v>0.125</v>
      </c>
    </row>
    <row r="27" spans="1:8" x14ac:dyDescent="0.25">
      <c r="B27" t="s">
        <v>1</v>
      </c>
      <c r="C27">
        <f>Sheet1!C8/SQRT(Sheet1!C5/12)</f>
        <v>48.49742261192857</v>
      </c>
      <c r="F27" t="s">
        <v>1</v>
      </c>
      <c r="G27">
        <f>C4/C2</f>
        <v>0.3125</v>
      </c>
    </row>
    <row r="28" spans="1:8" x14ac:dyDescent="0.25">
      <c r="B28" s="49">
        <f>C26/C27</f>
        <v>0.33333333333333331</v>
      </c>
    </row>
    <row r="29" spans="1:8" x14ac:dyDescent="0.25">
      <c r="B29" s="49"/>
      <c r="C29" s="12" t="str">
        <f>IF(B28&lt;2,"OK","NOT OK")</f>
        <v>OK</v>
      </c>
      <c r="F29" t="s">
        <v>1</v>
      </c>
      <c r="G29">
        <f>(G26/C6)/(G27/C5)</f>
        <v>4.4444444444444439E-2</v>
      </c>
    </row>
    <row r="30" spans="1:8" x14ac:dyDescent="0.25">
      <c r="B30" s="49">
        <f>C27/C26</f>
        <v>3</v>
      </c>
      <c r="H30" s="12" t="str">
        <f>IF(OR(G29&lt;0.2,G31&lt;0.2),"OK","NOT OK")</f>
        <v>OK</v>
      </c>
    </row>
    <row r="31" spans="1:8" x14ac:dyDescent="0.25">
      <c r="B31" s="49"/>
      <c r="C31" s="12" t="str">
        <f>IF(B30&lt;2,"OK","NOT OK")</f>
        <v>NOT OK</v>
      </c>
      <c r="F31" t="s">
        <v>1</v>
      </c>
      <c r="G31">
        <f>1/G29</f>
        <v>22.500000000000004</v>
      </c>
    </row>
    <row r="34" spans="1:8" x14ac:dyDescent="0.25">
      <c r="A34" s="52" t="str">
        <f>IF(AND(C29="OK",C31="OK",H30="OK"),"No need for biaxial check uniaxial case separately 2 times"," Need to  biaxial check")</f>
        <v xml:space="preserve"> Need to  biaxial check</v>
      </c>
      <c r="B34" s="52"/>
      <c r="C34" s="52"/>
      <c r="D34" s="52"/>
      <c r="E34" s="52"/>
      <c r="F34" s="52"/>
      <c r="G34" s="52"/>
      <c r="H34" s="52"/>
    </row>
    <row r="35" spans="1:8" x14ac:dyDescent="0.25">
      <c r="A35" s="48" t="s">
        <v>116</v>
      </c>
      <c r="B35" s="48"/>
      <c r="C35" s="34"/>
    </row>
    <row r="36" spans="1:8" x14ac:dyDescent="0.25">
      <c r="A36" s="48" t="s">
        <v>127</v>
      </c>
      <c r="B36" s="48"/>
      <c r="C36" s="48"/>
    </row>
    <row r="37" spans="1:8" x14ac:dyDescent="0.25">
      <c r="A37" s="48" t="s">
        <v>128</v>
      </c>
      <c r="B37" s="48"/>
      <c r="C37" s="48"/>
    </row>
    <row r="38" spans="1:8" hidden="1" x14ac:dyDescent="0.25">
      <c r="A38" s="34"/>
      <c r="B38" s="34"/>
      <c r="C38" s="34"/>
    </row>
    <row r="39" spans="1:8" hidden="1" x14ac:dyDescent="0.25">
      <c r="A39" s="34"/>
      <c r="B39" s="34"/>
      <c r="C39" s="34"/>
    </row>
    <row r="40" spans="1:8" x14ac:dyDescent="0.25">
      <c r="A40" s="48" t="s">
        <v>129</v>
      </c>
      <c r="B40" s="48"/>
      <c r="C40" s="34"/>
    </row>
    <row r="41" spans="1:8" x14ac:dyDescent="0.25">
      <c r="B41" s="13" t="s">
        <v>1</v>
      </c>
      <c r="C41">
        <f>(((C5*C6)*10^6)*Sheet1!C10*0.533+(check!C11*check!C9*check!C9*3.14*0.25)*Sheet1!C11/1.15)/1000</f>
        <v>163535</v>
      </c>
      <c r="D41" t="s">
        <v>147</v>
      </c>
    </row>
    <row r="42" spans="1:8" hidden="1" x14ac:dyDescent="0.25">
      <c r="A42" t="s">
        <v>118</v>
      </c>
      <c r="B42" t="s">
        <v>1</v>
      </c>
      <c r="C42">
        <f>Sheet1!C10/1.5</f>
        <v>20</v>
      </c>
    </row>
    <row r="43" spans="1:8" hidden="1" x14ac:dyDescent="0.25">
      <c r="A43" t="s">
        <v>80</v>
      </c>
      <c r="B43" t="s">
        <v>1</v>
      </c>
      <c r="C43">
        <f>Sheet1!C11/1.15</f>
        <v>434.78260869565219</v>
      </c>
      <c r="D43" s="47" t="s">
        <v>139</v>
      </c>
      <c r="E43" s="47"/>
      <c r="F43" s="47"/>
      <c r="G43" s="47"/>
      <c r="H43" s="47"/>
    </row>
    <row r="44" spans="1:8" hidden="1" x14ac:dyDescent="0.25">
      <c r="A44" t="s">
        <v>119</v>
      </c>
      <c r="B44" t="s">
        <v>1</v>
      </c>
      <c r="C44">
        <f>3.14*0.25*C9*C9</f>
        <v>490.625</v>
      </c>
    </row>
    <row r="45" spans="1:8" hidden="1" x14ac:dyDescent="0.25">
      <c r="A45" t="s">
        <v>120</v>
      </c>
      <c r="B45" t="s">
        <v>1</v>
      </c>
      <c r="C45">
        <f>((E16+2)*C44*C43+2*E17*C44*C43)/(C5*1000*C42+(C43/(1000*C6)*2*E17*C44))</f>
        <v>841.46746807744523</v>
      </c>
      <c r="D45" t="s">
        <v>77</v>
      </c>
      <c r="E45" t="s">
        <v>120</v>
      </c>
      <c r="F45" t="s">
        <v>1</v>
      </c>
      <c r="G45">
        <f>((E17+2)*C44*C43+2*E16*C44*C43)/(C6*1000*C42+(C43/(1000*C5)*2*E16*C44))</f>
        <v>65.129785468768517</v>
      </c>
    </row>
    <row r="46" spans="1:8" hidden="1" x14ac:dyDescent="0.25">
      <c r="A46" t="s">
        <v>125</v>
      </c>
      <c r="B46" t="s">
        <v>1</v>
      </c>
      <c r="C46">
        <f>((C6*1000-C45)/(C6*1000))*E17</f>
        <v>34.447137357006341</v>
      </c>
      <c r="E46" t="s">
        <v>125</v>
      </c>
      <c r="F46" t="s">
        <v>1</v>
      </c>
      <c r="G46">
        <f>((C5*1000-G45)/(C5*1000))*E16</f>
        <v>7.4789617162498514</v>
      </c>
    </row>
    <row r="47" spans="1:8" hidden="1" x14ac:dyDescent="0.25">
      <c r="A47" t="s">
        <v>84</v>
      </c>
      <c r="B47" t="s">
        <v>1</v>
      </c>
      <c r="C47">
        <f>C6*1000-((E16*E18)+2*C46*E18+E20*(C46+1)*C46)/(E16+2*C46)</f>
        <v>5240.9265101872033</v>
      </c>
      <c r="E47" t="s">
        <v>84</v>
      </c>
      <c r="F47" t="s">
        <v>1</v>
      </c>
      <c r="G47">
        <f>C5*1000-((E17*E18)+2*G46*E18+E19*(G46+1)*G46)/(E17+2*G46)</f>
        <v>811.2433897305325</v>
      </c>
    </row>
    <row r="48" spans="1:8" x14ac:dyDescent="0.25">
      <c r="B48" s="13" t="s">
        <v>1</v>
      </c>
      <c r="C48">
        <f>C43*C44*(E16+C46)*(C47-C45*0.5)/10^6</f>
        <v>43645.015519644854</v>
      </c>
      <c r="D48" t="s">
        <v>148</v>
      </c>
    </row>
    <row r="49" spans="1:8" x14ac:dyDescent="0.25">
      <c r="B49" s="13" t="s">
        <v>1</v>
      </c>
      <c r="C49">
        <f>C43*C44*(E17+G46)*(G47-G45*0.5)/10^6</f>
        <v>7554.2362228292168</v>
      </c>
      <c r="D49" t="s">
        <v>148</v>
      </c>
    </row>
    <row r="50" spans="1:8" x14ac:dyDescent="0.25">
      <c r="B50" s="49" t="s">
        <v>1</v>
      </c>
      <c r="C50" s="49">
        <f>C2/C41</f>
        <v>4.8919191610358639E-2</v>
      </c>
    </row>
    <row r="51" spans="1:8" x14ac:dyDescent="0.25">
      <c r="B51" s="49"/>
      <c r="C51" s="49"/>
    </row>
    <row r="52" spans="1:8" x14ac:dyDescent="0.25">
      <c r="A52" s="14" t="s">
        <v>126</v>
      </c>
      <c r="B52" s="13" t="s">
        <v>1</v>
      </c>
      <c r="C52">
        <f>IF(C50&lt;0.1,1,IF(C50&gt;1,2,LININTERP(C50,B59:B61,C59:C61)))</f>
        <v>1</v>
      </c>
    </row>
    <row r="53" spans="1:8" x14ac:dyDescent="0.25">
      <c r="B53" s="49" t="s">
        <v>1</v>
      </c>
      <c r="C53" s="49">
        <f>(C3/C49)^C52+(C4/C48)^C52</f>
        <v>0.18965636592782562</v>
      </c>
    </row>
    <row r="54" spans="1:8" x14ac:dyDescent="0.25">
      <c r="B54" s="49"/>
      <c r="C54" s="49"/>
    </row>
    <row r="55" spans="1:8" x14ac:dyDescent="0.25">
      <c r="A55" s="52" t="str">
        <f>IF(C53&lt;1," BIAXIAL CHECK IS SATISFIED","BIAIAL CHECK IS NOT SATISFIED")</f>
        <v xml:space="preserve"> BIAXIAL CHECK IS SATISFIED</v>
      </c>
      <c r="B55" s="52"/>
      <c r="C55" s="52"/>
      <c r="D55" s="52"/>
      <c r="E55" s="52"/>
      <c r="F55" s="52"/>
      <c r="G55" s="52"/>
      <c r="H55" s="52"/>
    </row>
    <row r="59" spans="1:8" hidden="1" x14ac:dyDescent="0.25">
      <c r="B59">
        <v>0.1</v>
      </c>
      <c r="C59">
        <v>1</v>
      </c>
    </row>
    <row r="60" spans="1:8" hidden="1" x14ac:dyDescent="0.25">
      <c r="B60">
        <v>0.7</v>
      </c>
      <c r="C60">
        <v>1.5</v>
      </c>
    </row>
    <row r="61" spans="1:8" hidden="1" x14ac:dyDescent="0.25">
      <c r="B61">
        <v>1</v>
      </c>
      <c r="C61">
        <v>2</v>
      </c>
    </row>
  </sheetData>
  <mergeCells count="16">
    <mergeCell ref="B50:B51"/>
    <mergeCell ref="C50:C51"/>
    <mergeCell ref="B53:B54"/>
    <mergeCell ref="C53:C54"/>
    <mergeCell ref="A55:H55"/>
    <mergeCell ref="D43:H43"/>
    <mergeCell ref="A40:B40"/>
    <mergeCell ref="F19:H19"/>
    <mergeCell ref="F20:H20"/>
    <mergeCell ref="A1:G1"/>
    <mergeCell ref="B28:B29"/>
    <mergeCell ref="B30:B31"/>
    <mergeCell ref="A34:H34"/>
    <mergeCell ref="A35:B35"/>
    <mergeCell ref="A36:C36"/>
    <mergeCell ref="A37:C37"/>
  </mergeCells>
  <pageMargins left="1.5" right="0.8" top="1" bottom="1.25" header="0.31496062992125984" footer="0.31496062992125984"/>
  <pageSetup scale="7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5"/>
  <sheetViews>
    <sheetView view="pageBreakPreview" topLeftCell="A7" zoomScale="106" zoomScaleNormal="100" zoomScaleSheetLayoutView="106" workbookViewId="0">
      <selection activeCell="Q9" sqref="Q9"/>
    </sheetView>
  </sheetViews>
  <sheetFormatPr defaultRowHeight="15" x14ac:dyDescent="0.25"/>
  <cols>
    <col min="1" max="1" width="11.7109375" customWidth="1"/>
    <col min="3" max="3" width="12" bestFit="1" customWidth="1"/>
  </cols>
  <sheetData>
    <row r="1" spans="1:17" ht="24.75" customHeight="1" x14ac:dyDescent="0.3">
      <c r="C1" s="56"/>
      <c r="D1" s="49"/>
      <c r="E1" s="49"/>
      <c r="F1" s="49"/>
      <c r="G1" s="49"/>
      <c r="H1" s="49"/>
      <c r="I1" s="49"/>
    </row>
    <row r="2" spans="1:17" x14ac:dyDescent="0.25">
      <c r="A2" t="s">
        <v>79</v>
      </c>
      <c r="B2">
        <f>Sheet1!C10</f>
        <v>30</v>
      </c>
      <c r="C2" t="s">
        <v>86</v>
      </c>
      <c r="D2">
        <f>Sheet1!C11</f>
        <v>500</v>
      </c>
    </row>
    <row r="3" spans="1:17" x14ac:dyDescent="0.25">
      <c r="A3" t="s">
        <v>85</v>
      </c>
      <c r="B3">
        <f>0.8*B2</f>
        <v>24</v>
      </c>
    </row>
    <row r="4" spans="1:17" x14ac:dyDescent="0.25">
      <c r="A4" s="6" t="s">
        <v>82</v>
      </c>
      <c r="B4">
        <v>1</v>
      </c>
    </row>
    <row r="5" spans="1:17" x14ac:dyDescent="0.25">
      <c r="A5" s="6" t="s">
        <v>81</v>
      </c>
      <c r="B5">
        <v>0.8</v>
      </c>
    </row>
    <row r="6" spans="1:17" x14ac:dyDescent="0.25">
      <c r="A6" s="5" t="s">
        <v>83</v>
      </c>
      <c r="B6">
        <v>1</v>
      </c>
    </row>
    <row r="7" spans="1:17" ht="15.75" x14ac:dyDescent="0.25">
      <c r="A7" s="8" t="s">
        <v>87</v>
      </c>
      <c r="J7" s="63" t="s">
        <v>137</v>
      </c>
      <c r="K7" s="63"/>
      <c r="L7" s="63"/>
      <c r="M7" s="63"/>
      <c r="N7" s="63"/>
      <c r="O7" s="63"/>
      <c r="P7" s="63"/>
      <c r="Q7" s="63"/>
    </row>
    <row r="8" spans="1:17" x14ac:dyDescent="0.25">
      <c r="A8" s="8" t="s">
        <v>72</v>
      </c>
      <c r="B8" t="s">
        <v>1</v>
      </c>
      <c r="C8">
        <f>check!C5*1000</f>
        <v>1000</v>
      </c>
      <c r="D8" t="s">
        <v>77</v>
      </c>
    </row>
    <row r="9" spans="1:17" x14ac:dyDescent="0.25">
      <c r="A9" s="8" t="s">
        <v>73</v>
      </c>
      <c r="B9" t="s">
        <v>1</v>
      </c>
      <c r="C9">
        <f>check!C6*1000</f>
        <v>9000</v>
      </c>
      <c r="D9" t="s">
        <v>77</v>
      </c>
    </row>
    <row r="10" spans="1:17" x14ac:dyDescent="0.25">
      <c r="A10" s="8" t="s">
        <v>88</v>
      </c>
      <c r="B10" t="s">
        <v>1</v>
      </c>
      <c r="C10">
        <f>check!C9</f>
        <v>25</v>
      </c>
      <c r="D10" t="s">
        <v>77</v>
      </c>
    </row>
    <row r="11" spans="1:17" x14ac:dyDescent="0.25">
      <c r="A11" s="8" t="s">
        <v>89</v>
      </c>
      <c r="B11" t="s">
        <v>1</v>
      </c>
      <c r="C11">
        <f>check!E18</f>
        <v>75</v>
      </c>
      <c r="D11" t="s">
        <v>77</v>
      </c>
    </row>
    <row r="12" spans="1:17" x14ac:dyDescent="0.25">
      <c r="A12" s="8" t="s">
        <v>90</v>
      </c>
      <c r="B12" t="s">
        <v>1</v>
      </c>
      <c r="C12">
        <f>C8-2*C11</f>
        <v>850</v>
      </c>
      <c r="D12" t="s">
        <v>77</v>
      </c>
    </row>
    <row r="13" spans="1:17" x14ac:dyDescent="0.25">
      <c r="A13" s="8" t="s">
        <v>91</v>
      </c>
      <c r="B13" t="s">
        <v>1</v>
      </c>
      <c r="C13">
        <f>C9-2*C11</f>
        <v>8850</v>
      </c>
      <c r="D13" t="s">
        <v>77</v>
      </c>
    </row>
    <row r="14" spans="1:17" x14ac:dyDescent="0.25">
      <c r="A14" s="49"/>
      <c r="B14" s="49"/>
      <c r="C14" s="49"/>
    </row>
    <row r="15" spans="1:17" x14ac:dyDescent="0.25">
      <c r="A15" s="8" t="s">
        <v>93</v>
      </c>
      <c r="B15">
        <f>check!C7</f>
        <v>0.5</v>
      </c>
      <c r="C15" t="s">
        <v>74</v>
      </c>
    </row>
    <row r="16" spans="1:17" x14ac:dyDescent="0.25">
      <c r="A16" s="8" t="s">
        <v>93</v>
      </c>
      <c r="B16">
        <f>B15/100*C8*C9</f>
        <v>45000</v>
      </c>
      <c r="C16" t="s">
        <v>76</v>
      </c>
    </row>
    <row r="17" spans="1:17" x14ac:dyDescent="0.25">
      <c r="A17" s="8" t="s">
        <v>94</v>
      </c>
      <c r="B17">
        <f>B16/(3.14*0.25*C10*C10)</f>
        <v>91.71974522292993</v>
      </c>
    </row>
    <row r="18" spans="1:17" x14ac:dyDescent="0.25">
      <c r="A18" s="8" t="s">
        <v>78</v>
      </c>
      <c r="B18">
        <f>check!C11</f>
        <v>92</v>
      </c>
      <c r="C18" t="s">
        <v>101</v>
      </c>
      <c r="D18">
        <f>100*B18*3.14*0.25*C10*C10/(C8*C9)</f>
        <v>0.50152777777777779</v>
      </c>
    </row>
    <row r="19" spans="1:17" x14ac:dyDescent="0.25">
      <c r="A19" s="8" t="s">
        <v>95</v>
      </c>
      <c r="B19">
        <f>2*(C12+C13)/B18</f>
        <v>210.86956521739131</v>
      </c>
    </row>
    <row r="20" spans="1:17" x14ac:dyDescent="0.25">
      <c r="A20" s="8" t="s">
        <v>78</v>
      </c>
      <c r="B20">
        <f>check!E20</f>
        <v>232</v>
      </c>
      <c r="C20" t="s">
        <v>96</v>
      </c>
      <c r="D20" t="s">
        <v>117</v>
      </c>
    </row>
    <row r="21" spans="1:17" x14ac:dyDescent="0.25">
      <c r="A21" s="8" t="s">
        <v>97</v>
      </c>
      <c r="D21">
        <f>check!E16</f>
        <v>8</v>
      </c>
      <c r="E21">
        <f>ROUNDUP(2*C12/B20,0)</f>
        <v>8</v>
      </c>
    </row>
    <row r="22" spans="1:17" x14ac:dyDescent="0.25">
      <c r="A22" s="8" t="s">
        <v>98</v>
      </c>
      <c r="D22">
        <f>check!E17</f>
        <v>38</v>
      </c>
      <c r="E22">
        <f>ROUNDUP(0.5*(B18-2*D21),0)</f>
        <v>38</v>
      </c>
    </row>
    <row r="24" spans="1:17" x14ac:dyDescent="0.25">
      <c r="A24" s="59" t="s">
        <v>102</v>
      </c>
      <c r="B24" s="60"/>
      <c r="C24" s="60"/>
      <c r="D24" s="60"/>
      <c r="E24" s="60"/>
      <c r="F24" s="60"/>
      <c r="G24" s="60"/>
      <c r="H24" s="60"/>
      <c r="I24" s="61"/>
    </row>
    <row r="25" spans="1:17" x14ac:dyDescent="0.25">
      <c r="A25" s="62"/>
      <c r="B25" s="62"/>
      <c r="C25" s="62"/>
      <c r="D25" s="9" t="s">
        <v>99</v>
      </c>
      <c r="E25" s="9" t="s">
        <v>100</v>
      </c>
      <c r="F25" s="57"/>
      <c r="G25" s="57"/>
      <c r="H25" s="7"/>
      <c r="I25" s="7"/>
    </row>
    <row r="26" spans="1:17" x14ac:dyDescent="0.25">
      <c r="A26" s="62"/>
      <c r="B26" s="62"/>
      <c r="C26" s="62"/>
      <c r="D26" s="7"/>
      <c r="E26" s="7"/>
      <c r="F26" s="58"/>
      <c r="G26" s="58"/>
      <c r="H26" s="7"/>
      <c r="I26" s="7"/>
    </row>
    <row r="27" spans="1:17" x14ac:dyDescent="0.25">
      <c r="A27" s="7">
        <v>0.2</v>
      </c>
      <c r="B27" s="7">
        <f t="shared" ref="B27:B30" si="0">$B$3/1.5*$B$4*$B$5*$B$6*$A27</f>
        <v>2.5600000000000005</v>
      </c>
      <c r="C27" s="7">
        <f>0.5*$B$6*$B$4*$B$3/1.5*$B$5*$A27*(1-$B$5*$A27)</f>
        <v>1.0752000000000002</v>
      </c>
      <c r="D27" s="7">
        <v>-1718017.0591787426</v>
      </c>
      <c r="E27" s="7">
        <v>129432092512.4547</v>
      </c>
      <c r="F27" s="7">
        <f>$E27/($C$8*$C$9*$C$9)</f>
        <v>1.5979270680549962</v>
      </c>
      <c r="G27" s="7">
        <f>$D27/($C$8*$C$9)</f>
        <v>-0.19089078435319362</v>
      </c>
      <c r="H27" s="7">
        <f>$F27+$C27</f>
        <v>2.6731270680549963</v>
      </c>
      <c r="I27" s="7">
        <f>$G27+$B27</f>
        <v>2.369109215646807</v>
      </c>
    </row>
    <row r="28" spans="1:17" x14ac:dyDescent="0.25">
      <c r="A28" s="7">
        <v>0.4</v>
      </c>
      <c r="B28" s="7">
        <f t="shared" si="0"/>
        <v>5.120000000000001</v>
      </c>
      <c r="C28" s="7">
        <f t="shared" ref="C28:C30" si="1">0.5*$B$6*$B$4*$B$3/1.5*$B$5*$A28*(1-$B$5*$A28)</f>
        <v>1.7408000000000001</v>
      </c>
      <c r="D28" s="7">
        <v>14020515.964673903</v>
      </c>
      <c r="E28" s="7">
        <v>156470867070.3125</v>
      </c>
      <c r="F28" s="7">
        <f t="shared" ref="F28:F41" si="2">$E28/($C$8*$C$9*$C$9)</f>
        <v>1.9317390996334876</v>
      </c>
      <c r="G28" s="7">
        <f t="shared" ref="G28:G41" si="3">$D28/($C$8*$C$9)</f>
        <v>1.5578351071859893</v>
      </c>
      <c r="H28" s="7">
        <f t="shared" ref="H28:H41" si="4">$F28+$C28</f>
        <v>3.6725390996334877</v>
      </c>
      <c r="I28" s="7">
        <f t="shared" ref="I28:I41" si="5">$G28+$B28</f>
        <v>6.6778351071859898</v>
      </c>
    </row>
    <row r="29" spans="1:17" x14ac:dyDescent="0.25">
      <c r="A29" s="7">
        <v>0.6</v>
      </c>
      <c r="B29" s="7">
        <f t="shared" si="0"/>
        <v>7.68</v>
      </c>
      <c r="C29" s="7">
        <f t="shared" si="1"/>
        <v>1.9967999999999999</v>
      </c>
      <c r="D29" s="7">
        <v>29815549.079106279</v>
      </c>
      <c r="E29" s="7">
        <v>136812108422.2272</v>
      </c>
      <c r="F29" s="7">
        <f t="shared" si="2"/>
        <v>1.6890383755830518</v>
      </c>
      <c r="G29" s="7">
        <f t="shared" si="3"/>
        <v>3.3128387865673643</v>
      </c>
      <c r="H29" s="7">
        <f t="shared" si="4"/>
        <v>3.6858383755830517</v>
      </c>
      <c r="I29" s="7">
        <f t="shared" si="5"/>
        <v>10.992838786567365</v>
      </c>
      <c r="J29" s="54" t="s">
        <v>133</v>
      </c>
      <c r="K29" s="55"/>
      <c r="L29" s="55"/>
      <c r="M29" s="55"/>
      <c r="N29" s="55"/>
      <c r="O29" s="55"/>
      <c r="P29" s="55"/>
      <c r="Q29" s="55"/>
    </row>
    <row r="30" spans="1:17" x14ac:dyDescent="0.25">
      <c r="A30" s="7">
        <v>0.8</v>
      </c>
      <c r="B30" s="7">
        <f t="shared" si="0"/>
        <v>10.240000000000002</v>
      </c>
      <c r="C30" s="7">
        <f t="shared" si="1"/>
        <v>1.8431999999999997</v>
      </c>
      <c r="D30" s="7">
        <v>44950338.413345411</v>
      </c>
      <c r="E30" s="7">
        <v>95655795968.485794</v>
      </c>
      <c r="F30" s="7">
        <f t="shared" si="2"/>
        <v>1.1809357526973554</v>
      </c>
      <c r="G30" s="7">
        <f t="shared" si="3"/>
        <v>4.9944820459272679</v>
      </c>
      <c r="H30" s="7">
        <f t="shared" si="4"/>
        <v>3.0241357526973554</v>
      </c>
      <c r="I30" s="7">
        <f t="shared" si="5"/>
        <v>15.234482045927269</v>
      </c>
    </row>
    <row r="31" spans="1:17" x14ac:dyDescent="0.25">
      <c r="A31" s="7">
        <v>1</v>
      </c>
      <c r="B31" s="7">
        <f>$B$3/1.5*$B$4*$B$6*$A31</f>
        <v>16</v>
      </c>
      <c r="C31" s="7">
        <v>0</v>
      </c>
      <c r="D31" s="7">
        <v>57388380.178140096</v>
      </c>
      <c r="E31" s="7">
        <v>69606452748.414886</v>
      </c>
      <c r="F31" s="7">
        <f t="shared" si="2"/>
        <v>0.85933892281993685</v>
      </c>
      <c r="G31" s="7">
        <f t="shared" si="3"/>
        <v>6.3764866864600105</v>
      </c>
      <c r="H31" s="7">
        <f t="shared" si="4"/>
        <v>0.85933892281993685</v>
      </c>
      <c r="I31" s="7">
        <f t="shared" si="5"/>
        <v>22.376486686460012</v>
      </c>
      <c r="J31" s="53" t="s">
        <v>140</v>
      </c>
      <c r="K31" s="53"/>
      <c r="L31" s="53"/>
      <c r="M31" s="53"/>
      <c r="N31" s="53"/>
      <c r="O31" s="53"/>
      <c r="P31" s="53"/>
      <c r="Q31" s="53"/>
    </row>
    <row r="32" spans="1:17" x14ac:dyDescent="0.25">
      <c r="A32" s="7">
        <v>1.2</v>
      </c>
      <c r="B32" s="7">
        <f>$B$3/1.5*$B$4*$B$6</f>
        <v>16</v>
      </c>
      <c r="C32" s="7">
        <v>0</v>
      </c>
      <c r="D32" s="7">
        <v>66030737.973027401</v>
      </c>
      <c r="E32" s="7">
        <v>51544811775.613945</v>
      </c>
      <c r="F32" s="7">
        <f t="shared" si="2"/>
        <v>0.63635570093350546</v>
      </c>
      <c r="G32" s="7">
        <f t="shared" si="3"/>
        <v>7.3367486636697112</v>
      </c>
      <c r="H32" s="7">
        <f t="shared" si="4"/>
        <v>0.63635570093350546</v>
      </c>
      <c r="I32" s="7">
        <f t="shared" si="5"/>
        <v>23.336748663669709</v>
      </c>
    </row>
    <row r="33" spans="1:9" x14ac:dyDescent="0.25">
      <c r="A33" s="7">
        <v>1.4</v>
      </c>
      <c r="B33" s="7">
        <f t="shared" ref="B33:B41" si="6">$B$3/1.5*$B$4*$B$6</f>
        <v>16</v>
      </c>
      <c r="C33" s="7">
        <v>0</v>
      </c>
      <c r="D33" s="7">
        <v>71657641.832729489</v>
      </c>
      <c r="E33" s="7">
        <v>38419758627.339966</v>
      </c>
      <c r="F33" s="7">
        <f t="shared" si="2"/>
        <v>0.47431800774493788</v>
      </c>
      <c r="G33" s="7">
        <f t="shared" si="3"/>
        <v>7.9619602036366102</v>
      </c>
      <c r="H33" s="7">
        <f t="shared" si="4"/>
        <v>0.47431800774493788</v>
      </c>
      <c r="I33" s="7">
        <f t="shared" si="5"/>
        <v>23.961960203636611</v>
      </c>
    </row>
    <row r="34" spans="1:9" x14ac:dyDescent="0.25">
      <c r="A34" s="7">
        <v>1.6</v>
      </c>
      <c r="B34" s="7">
        <f t="shared" si="6"/>
        <v>16</v>
      </c>
      <c r="C34" s="7">
        <v>0</v>
      </c>
      <c r="D34" s="7">
        <v>75399886.982940823</v>
      </c>
      <c r="E34" s="7">
        <v>28705736092.22147</v>
      </c>
      <c r="F34" s="7">
        <f t="shared" si="2"/>
        <v>0.35439180360767247</v>
      </c>
      <c r="G34" s="7">
        <f t="shared" si="3"/>
        <v>8.3777652203267579</v>
      </c>
      <c r="H34" s="7">
        <f t="shared" si="4"/>
        <v>0.35439180360767247</v>
      </c>
      <c r="I34" s="7">
        <f t="shared" si="5"/>
        <v>24.377765220326758</v>
      </c>
    </row>
    <row r="35" spans="1:9" x14ac:dyDescent="0.25">
      <c r="A35" s="7">
        <v>1.8</v>
      </c>
      <c r="B35" s="7">
        <f t="shared" si="6"/>
        <v>16</v>
      </c>
      <c r="C35" s="7">
        <v>0</v>
      </c>
      <c r="D35" s="7">
        <v>77885692.993491739</v>
      </c>
      <c r="E35" s="7">
        <v>21555212386.163124</v>
      </c>
      <c r="F35" s="7">
        <f t="shared" si="2"/>
        <v>0.26611373316250769</v>
      </c>
      <c r="G35" s="7">
        <f t="shared" si="3"/>
        <v>8.6539658881657484</v>
      </c>
      <c r="H35" s="7">
        <f t="shared" si="4"/>
        <v>0.26611373316250769</v>
      </c>
      <c r="I35" s="7">
        <f t="shared" si="5"/>
        <v>24.65396588816575</v>
      </c>
    </row>
    <row r="36" spans="1:9" x14ac:dyDescent="0.25">
      <c r="A36" s="7">
        <v>2</v>
      </c>
      <c r="B36" s="7">
        <f t="shared" si="6"/>
        <v>16</v>
      </c>
      <c r="C36" s="7">
        <v>0</v>
      </c>
      <c r="D36" s="7">
        <v>79491991.606280252</v>
      </c>
      <c r="E36" s="7">
        <v>16459668438.707737</v>
      </c>
      <c r="F36" s="7">
        <f t="shared" si="2"/>
        <v>0.20320578319392268</v>
      </c>
      <c r="G36" s="7">
        <f t="shared" si="3"/>
        <v>8.8324435118089166</v>
      </c>
      <c r="H36" s="7">
        <f t="shared" si="4"/>
        <v>0.20320578319392268</v>
      </c>
      <c r="I36" s="7">
        <f t="shared" si="5"/>
        <v>24.832443511808918</v>
      </c>
    </row>
    <row r="37" spans="1:9" x14ac:dyDescent="0.25">
      <c r="A37" s="7">
        <v>2.2000000000000002</v>
      </c>
      <c r="B37" s="7">
        <f t="shared" si="6"/>
        <v>16</v>
      </c>
      <c r="C37" s="7">
        <v>0</v>
      </c>
      <c r="D37" s="7">
        <v>80458648.475241601</v>
      </c>
      <c r="E37" s="7">
        <v>13095501205.018944</v>
      </c>
      <c r="F37" s="7">
        <f t="shared" si="2"/>
        <v>0.16167285438294993</v>
      </c>
      <c r="G37" s="7">
        <f t="shared" si="3"/>
        <v>8.9398498305823999</v>
      </c>
      <c r="H37" s="7">
        <f t="shared" si="4"/>
        <v>0.16167285438294993</v>
      </c>
      <c r="I37" s="7">
        <f t="shared" si="5"/>
        <v>24.9398498305824</v>
      </c>
    </row>
    <row r="38" spans="1:9" x14ac:dyDescent="0.25">
      <c r="A38" s="7">
        <v>2.4</v>
      </c>
      <c r="B38" s="7">
        <f t="shared" si="6"/>
        <v>16</v>
      </c>
      <c r="C38" s="7">
        <v>0</v>
      </c>
      <c r="D38" s="7">
        <v>80943801.347373247</v>
      </c>
      <c r="E38" s="7">
        <v>11253525407.577251</v>
      </c>
      <c r="F38" s="7">
        <f t="shared" si="2"/>
        <v>0.13893241243922533</v>
      </c>
      <c r="G38" s="7">
        <f t="shared" si="3"/>
        <v>8.9937557052636947</v>
      </c>
      <c r="H38" s="7">
        <f t="shared" si="4"/>
        <v>0.13893241243922533</v>
      </c>
      <c r="I38" s="7">
        <f t="shared" si="5"/>
        <v>24.993755705263695</v>
      </c>
    </row>
    <row r="39" spans="1:9" x14ac:dyDescent="0.25">
      <c r="A39" s="7">
        <v>2.6</v>
      </c>
      <c r="B39" s="7">
        <f t="shared" si="6"/>
        <v>16</v>
      </c>
      <c r="C39" s="7">
        <v>0</v>
      </c>
      <c r="D39" s="7">
        <v>81059782.608695716</v>
      </c>
      <c r="E39" s="7">
        <v>10780951086.956532</v>
      </c>
      <c r="F39" s="7">
        <f t="shared" si="2"/>
        <v>0.13309816156736459</v>
      </c>
      <c r="G39" s="7">
        <f t="shared" si="3"/>
        <v>9.0066425120773026</v>
      </c>
      <c r="H39" s="7">
        <f t="shared" si="4"/>
        <v>0.13309816156736459</v>
      </c>
      <c r="I39" s="7">
        <f t="shared" si="5"/>
        <v>25.006642512077303</v>
      </c>
    </row>
    <row r="40" spans="1:9" x14ac:dyDescent="0.25">
      <c r="A40" s="7">
        <v>2.8</v>
      </c>
      <c r="B40" s="7">
        <f t="shared" si="6"/>
        <v>16</v>
      </c>
      <c r="C40" s="7">
        <v>0</v>
      </c>
      <c r="D40" s="7">
        <v>81059782.608695716</v>
      </c>
      <c r="E40" s="7">
        <v>10780951086.956532</v>
      </c>
      <c r="F40" s="7">
        <f t="shared" si="2"/>
        <v>0.13309816156736459</v>
      </c>
      <c r="G40" s="7">
        <f t="shared" si="3"/>
        <v>9.0066425120773026</v>
      </c>
      <c r="H40" s="7">
        <f t="shared" si="4"/>
        <v>0.13309816156736459</v>
      </c>
      <c r="I40" s="7">
        <f t="shared" si="5"/>
        <v>25.006642512077303</v>
      </c>
    </row>
    <row r="41" spans="1:9" x14ac:dyDescent="0.25">
      <c r="A41" s="7">
        <v>3</v>
      </c>
      <c r="B41" s="7">
        <f t="shared" si="6"/>
        <v>16</v>
      </c>
      <c r="C41" s="7">
        <v>0</v>
      </c>
      <c r="D41" s="7">
        <v>81059782.608695716</v>
      </c>
      <c r="E41" s="7">
        <v>10780951086.956532</v>
      </c>
      <c r="F41" s="7">
        <f t="shared" si="2"/>
        <v>0.13309816156736459</v>
      </c>
      <c r="G41" s="7">
        <f t="shared" si="3"/>
        <v>9.0066425120773026</v>
      </c>
      <c r="H41" s="7">
        <f t="shared" si="4"/>
        <v>0.13309816156736459</v>
      </c>
      <c r="I41" s="7">
        <f t="shared" si="5"/>
        <v>25.006642512077303</v>
      </c>
    </row>
    <row r="43" spans="1:9" x14ac:dyDescent="0.25">
      <c r="B43">
        <f>check!C2/(check!C5*check!C6*1000)</f>
        <v>0.88888888888888884</v>
      </c>
      <c r="C43">
        <f>check!C4/(check!C5*check!C6*check!C6*1000)</f>
        <v>3.0864197530864196E-2</v>
      </c>
      <c r="D43">
        <f>0.5*E44*$B$4*$B$3/1.5*$B$5*$A27*(1-$B$5*$A27)</f>
        <v>7.2220203417600031</v>
      </c>
      <c r="E43">
        <f>0.567*0.8*C8*B3*0.617*C9</f>
        <v>60452179.20000001</v>
      </c>
      <c r="F43">
        <v>21409476.869142413</v>
      </c>
      <c r="G43">
        <v>155430426817.70502</v>
      </c>
      <c r="H43">
        <v>0</v>
      </c>
      <c r="I43">
        <f>D43+(G43/(C8*C9*C9))</f>
        <v>9.1409145000032748</v>
      </c>
    </row>
    <row r="44" spans="1:9" x14ac:dyDescent="0.25">
      <c r="E44">
        <f>E43/(C8*C9)</f>
        <v>6.7169088000000015</v>
      </c>
      <c r="F44">
        <v>0</v>
      </c>
      <c r="G44">
        <v>0</v>
      </c>
      <c r="H44">
        <f>MAX(H27:H41)+0.5</f>
        <v>4.1858383755830513</v>
      </c>
      <c r="I44">
        <f>I43</f>
        <v>9.1409145000032748</v>
      </c>
    </row>
    <row r="45" spans="1:9" x14ac:dyDescent="0.25">
      <c r="F45">
        <f>H44</f>
        <v>4.1858383755830513</v>
      </c>
      <c r="G45">
        <f>D43+(G43/(C8*C9*C9))</f>
        <v>9.1409145000032748</v>
      </c>
    </row>
  </sheetData>
  <mergeCells count="11">
    <mergeCell ref="J31:Q31"/>
    <mergeCell ref="J29:Q29"/>
    <mergeCell ref="C1:I1"/>
    <mergeCell ref="G25:G26"/>
    <mergeCell ref="A24:I24"/>
    <mergeCell ref="A14:C14"/>
    <mergeCell ref="A25:A26"/>
    <mergeCell ref="B25:B26"/>
    <mergeCell ref="C25:C26"/>
    <mergeCell ref="F25:F26"/>
    <mergeCell ref="J7:Q7"/>
  </mergeCells>
  <pageMargins left="1.5" right="0.8" top="1" bottom="1.25" header="0.31496062992125984" footer="0.31496062992125984"/>
  <pageSetup scale="89" pageOrder="overThenDown" orientation="portrait" r:id="rId1"/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3.graph1">
                <anchor moveWithCells="1" sizeWithCells="1">
                  <from>
                    <xdr:col>12</xdr:col>
                    <xdr:colOff>114300</xdr:colOff>
                    <xdr:row>2</xdr:row>
                    <xdr:rowOff>152400</xdr:rowOff>
                  </from>
                  <to>
                    <xdr:col>13</xdr:col>
                    <xdr:colOff>552450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44"/>
  <sheetViews>
    <sheetView tabSelected="1" view="pageBreakPreview" zoomScaleNormal="100" zoomScaleSheetLayoutView="100" workbookViewId="0">
      <selection activeCell="L38" sqref="L38"/>
    </sheetView>
  </sheetViews>
  <sheetFormatPr defaultRowHeight="15" x14ac:dyDescent="0.25"/>
  <cols>
    <col min="1" max="1" width="11.7109375" customWidth="1"/>
    <col min="4" max="4" width="12" bestFit="1" customWidth="1"/>
  </cols>
  <sheetData>
    <row r="1" spans="1:17" ht="24.75" customHeight="1" x14ac:dyDescent="0.3">
      <c r="C1" s="15"/>
      <c r="D1" s="3"/>
      <c r="E1" s="3"/>
      <c r="F1" s="3"/>
      <c r="G1" s="3"/>
      <c r="H1" s="3"/>
      <c r="I1" s="3"/>
    </row>
    <row r="2" spans="1:17" x14ac:dyDescent="0.25">
      <c r="A2" t="s">
        <v>79</v>
      </c>
      <c r="B2">
        <f>Sheet1!C10</f>
        <v>30</v>
      </c>
      <c r="C2" t="s">
        <v>86</v>
      </c>
      <c r="D2">
        <f>Sheet1!C11</f>
        <v>500</v>
      </c>
    </row>
    <row r="3" spans="1:17" x14ac:dyDescent="0.25">
      <c r="A3" t="s">
        <v>85</v>
      </c>
      <c r="B3">
        <f>0.8*B2</f>
        <v>24</v>
      </c>
    </row>
    <row r="4" spans="1:17" x14ac:dyDescent="0.25">
      <c r="A4" s="6" t="s">
        <v>82</v>
      </c>
      <c r="B4">
        <v>1</v>
      </c>
    </row>
    <row r="5" spans="1:17" x14ac:dyDescent="0.25">
      <c r="A5" s="6" t="s">
        <v>81</v>
      </c>
      <c r="B5">
        <v>0.8</v>
      </c>
    </row>
    <row r="6" spans="1:17" x14ac:dyDescent="0.25">
      <c r="A6" s="11" t="s">
        <v>83</v>
      </c>
      <c r="B6">
        <v>1</v>
      </c>
    </row>
    <row r="7" spans="1:17" ht="15.75" x14ac:dyDescent="0.25">
      <c r="A7" s="8" t="s">
        <v>87</v>
      </c>
      <c r="J7" s="38" t="s">
        <v>134</v>
      </c>
      <c r="K7" s="38"/>
      <c r="L7" s="38"/>
      <c r="M7" s="38"/>
      <c r="N7" s="38"/>
      <c r="O7" s="38"/>
      <c r="P7" s="38"/>
      <c r="Q7" s="38"/>
    </row>
    <row r="8" spans="1:17" x14ac:dyDescent="0.25">
      <c r="A8" s="8" t="s">
        <v>72</v>
      </c>
      <c r="B8" t="s">
        <v>1</v>
      </c>
      <c r="C8">
        <f>Sheet1!C6*1000</f>
        <v>9000</v>
      </c>
      <c r="D8" t="s">
        <v>77</v>
      </c>
    </row>
    <row r="9" spans="1:17" x14ac:dyDescent="0.25">
      <c r="A9" s="8" t="s">
        <v>73</v>
      </c>
      <c r="B9" t="s">
        <v>1</v>
      </c>
      <c r="C9">
        <f>Sheet1!C5*1000</f>
        <v>1000</v>
      </c>
      <c r="D9" t="s">
        <v>77</v>
      </c>
    </row>
    <row r="10" spans="1:17" x14ac:dyDescent="0.25">
      <c r="A10" s="8" t="s">
        <v>88</v>
      </c>
      <c r="B10" t="s">
        <v>1</v>
      </c>
      <c r="C10">
        <f>check!C9</f>
        <v>25</v>
      </c>
      <c r="D10" t="s">
        <v>77</v>
      </c>
    </row>
    <row r="11" spans="1:17" x14ac:dyDescent="0.25">
      <c r="A11" s="8" t="s">
        <v>89</v>
      </c>
      <c r="B11" t="s">
        <v>1</v>
      </c>
      <c r="C11">
        <f>check!E18</f>
        <v>75</v>
      </c>
      <c r="D11" t="s">
        <v>77</v>
      </c>
    </row>
    <row r="12" spans="1:17" x14ac:dyDescent="0.25">
      <c r="A12" s="8" t="s">
        <v>90</v>
      </c>
      <c r="B12" t="s">
        <v>1</v>
      </c>
      <c r="C12">
        <f>C8-2*C11</f>
        <v>8850</v>
      </c>
      <c r="D12" t="s">
        <v>77</v>
      </c>
    </row>
    <row r="13" spans="1:17" x14ac:dyDescent="0.25">
      <c r="A13" s="8" t="s">
        <v>91</v>
      </c>
      <c r="B13" t="s">
        <v>1</v>
      </c>
      <c r="C13">
        <f>C9-2*C11</f>
        <v>850</v>
      </c>
      <c r="D13" t="s">
        <v>77</v>
      </c>
    </row>
    <row r="14" spans="1:17" x14ac:dyDescent="0.25">
      <c r="A14" s="49" t="s">
        <v>92</v>
      </c>
      <c r="B14" s="49"/>
      <c r="C14" s="49"/>
    </row>
    <row r="15" spans="1:17" x14ac:dyDescent="0.25">
      <c r="A15" s="8" t="s">
        <v>93</v>
      </c>
      <c r="B15">
        <f>check!C7</f>
        <v>0.5</v>
      </c>
      <c r="C15" t="s">
        <v>74</v>
      </c>
    </row>
    <row r="16" spans="1:17" x14ac:dyDescent="0.25">
      <c r="A16" s="8" t="s">
        <v>93</v>
      </c>
      <c r="B16">
        <f>B15/100*C8*C9</f>
        <v>45000</v>
      </c>
      <c r="C16" t="s">
        <v>76</v>
      </c>
    </row>
    <row r="17" spans="1:17" x14ac:dyDescent="0.25">
      <c r="A17" s="8" t="s">
        <v>94</v>
      </c>
      <c r="B17">
        <f>B16/(3.14*0.25*C10*C10)</f>
        <v>91.71974522292993</v>
      </c>
    </row>
    <row r="18" spans="1:17" x14ac:dyDescent="0.25">
      <c r="A18" s="8" t="s">
        <v>78</v>
      </c>
      <c r="B18">
        <f>check!C11</f>
        <v>92</v>
      </c>
      <c r="C18" t="s">
        <v>101</v>
      </c>
      <c r="D18">
        <f>100*B18*3.14*0.25*C10*C10/(C8*C9)</f>
        <v>0.50152777777777779</v>
      </c>
    </row>
    <row r="19" spans="1:17" x14ac:dyDescent="0.25">
      <c r="A19" s="8" t="s">
        <v>95</v>
      </c>
      <c r="B19">
        <f>2*(C12+C13)/B18</f>
        <v>210.86956521739131</v>
      </c>
    </row>
    <row r="20" spans="1:17" x14ac:dyDescent="0.25">
      <c r="A20" s="8" t="s">
        <v>78</v>
      </c>
      <c r="B20">
        <f>check!E19</f>
        <v>95</v>
      </c>
      <c r="C20" t="s">
        <v>96</v>
      </c>
      <c r="D20" t="s">
        <v>117</v>
      </c>
    </row>
    <row r="21" spans="1:17" x14ac:dyDescent="0.25">
      <c r="A21" s="8" t="s">
        <v>97</v>
      </c>
      <c r="D21">
        <f>check!E17</f>
        <v>38</v>
      </c>
      <c r="E21">
        <f>ROUNDUP(2*C12/B20,0)</f>
        <v>187</v>
      </c>
    </row>
    <row r="22" spans="1:17" x14ac:dyDescent="0.25">
      <c r="A22" s="8" t="s">
        <v>98</v>
      </c>
      <c r="D22">
        <f>check!E16</f>
        <v>8</v>
      </c>
      <c r="E22">
        <f>ROUNDUP(0.5*(B18-2*D21),0)</f>
        <v>8</v>
      </c>
    </row>
    <row r="24" spans="1:17" x14ac:dyDescent="0.25">
      <c r="A24" s="59" t="s">
        <v>102</v>
      </c>
      <c r="B24" s="60"/>
      <c r="C24" s="60"/>
      <c r="D24" s="60"/>
      <c r="E24" s="60"/>
      <c r="F24" s="60"/>
      <c r="G24" s="60"/>
      <c r="H24" s="60"/>
      <c r="I24" s="61"/>
    </row>
    <row r="25" spans="1:17" x14ac:dyDescent="0.25">
      <c r="A25" s="62"/>
      <c r="B25" s="62"/>
      <c r="C25" s="62"/>
      <c r="D25" s="10" t="s">
        <v>99</v>
      </c>
      <c r="E25" s="10" t="s">
        <v>100</v>
      </c>
      <c r="F25" s="57"/>
      <c r="G25" s="57"/>
      <c r="H25" s="7"/>
      <c r="I25" s="7"/>
    </row>
    <row r="26" spans="1:17" x14ac:dyDescent="0.25">
      <c r="A26" s="62"/>
      <c r="B26" s="62"/>
      <c r="C26" s="62"/>
      <c r="D26" s="7"/>
      <c r="E26" s="7"/>
      <c r="F26" s="58"/>
      <c r="G26" s="58"/>
      <c r="H26" s="7"/>
      <c r="I26" s="7"/>
    </row>
    <row r="27" spans="1:17" ht="15.75" x14ac:dyDescent="0.25">
      <c r="A27" s="7">
        <v>0.2</v>
      </c>
      <c r="B27" s="7">
        <f t="shared" ref="B27:B30" si="0">$B$3/1.5*$B$4*$B$5*$B$6*$A27</f>
        <v>2.5600000000000005</v>
      </c>
      <c r="C27" s="7">
        <f>0.5*$B$6*$B$4*$B$3/1.5*$B$5*$A27*(1-$B$5*$A27)</f>
        <v>1.0752000000000002</v>
      </c>
      <c r="D27" s="7">
        <v>130868.88586956263</v>
      </c>
      <c r="E27" s="7">
        <v>8018049728.26087</v>
      </c>
      <c r="F27" s="7">
        <f>$E27/($C$8*$C$9*$C$9)</f>
        <v>0.89089441425120774</v>
      </c>
      <c r="G27" s="7">
        <f>$D27/($C$8*$C$9)</f>
        <v>1.4540987318840291E-2</v>
      </c>
      <c r="H27" s="7">
        <f>$F27+$C27</f>
        <v>1.966094414251208</v>
      </c>
      <c r="I27" s="7">
        <f>$G27+$B27</f>
        <v>2.5745409873188407</v>
      </c>
      <c r="J27" s="64" t="s">
        <v>138</v>
      </c>
      <c r="K27" s="65"/>
      <c r="L27" s="65"/>
      <c r="M27" s="65"/>
      <c r="N27" s="65"/>
      <c r="O27" s="65"/>
      <c r="P27" s="65"/>
      <c r="Q27" s="65"/>
    </row>
    <row r="28" spans="1:17" x14ac:dyDescent="0.25">
      <c r="A28" s="7">
        <v>0.4</v>
      </c>
      <c r="B28" s="7">
        <f t="shared" si="0"/>
        <v>5.120000000000001</v>
      </c>
      <c r="C28" s="7">
        <f t="shared" ref="C28:C30" si="1">0.5*$B$6*$B$4*$B$3/1.5*$B$5*$A28*(1-$B$5*$A28)</f>
        <v>1.7408000000000001</v>
      </c>
      <c r="D28" s="7">
        <v>13136484.374999998</v>
      </c>
      <c r="E28" s="7">
        <v>11040395720.108696</v>
      </c>
      <c r="F28" s="7">
        <f t="shared" ref="F28:F41" si="2">$E28/($C$8*$C$9*$C$9)</f>
        <v>1.2267106355676329</v>
      </c>
      <c r="G28" s="7">
        <f t="shared" ref="G28:G41" si="3">$D28/($C$8*$C$9)</f>
        <v>1.4596093749999999</v>
      </c>
      <c r="H28" s="7">
        <f t="shared" ref="H28:H41" si="4">$F28+$C28</f>
        <v>2.9675106355676331</v>
      </c>
      <c r="I28" s="7">
        <f t="shared" ref="I28:I41" si="5">$G28+$B28</f>
        <v>6.5796093750000004</v>
      </c>
    </row>
    <row r="29" spans="1:17" x14ac:dyDescent="0.25">
      <c r="A29" s="7">
        <v>0.6</v>
      </c>
      <c r="B29" s="7">
        <f t="shared" si="0"/>
        <v>7.68</v>
      </c>
      <c r="C29" s="7">
        <f t="shared" si="1"/>
        <v>1.9967999999999999</v>
      </c>
      <c r="D29" s="7">
        <v>31438076.766304351</v>
      </c>
      <c r="E29" s="7">
        <v>10024745086.050724</v>
      </c>
      <c r="F29" s="7">
        <f t="shared" si="2"/>
        <v>1.113860565116747</v>
      </c>
      <c r="G29" s="7">
        <f t="shared" si="3"/>
        <v>3.4931196407004834</v>
      </c>
      <c r="H29" s="7">
        <f t="shared" si="4"/>
        <v>3.1106605651167469</v>
      </c>
      <c r="I29" s="7">
        <f t="shared" si="5"/>
        <v>11.173119640700483</v>
      </c>
      <c r="J29" s="53" t="s">
        <v>140</v>
      </c>
      <c r="K29" s="53"/>
      <c r="L29" s="53"/>
      <c r="M29" s="53"/>
      <c r="N29" s="53"/>
      <c r="O29" s="53"/>
      <c r="P29" s="53"/>
      <c r="Q29" s="53"/>
    </row>
    <row r="30" spans="1:17" x14ac:dyDescent="0.25">
      <c r="A30" s="7">
        <v>0.8</v>
      </c>
      <c r="B30" s="7">
        <f t="shared" si="0"/>
        <v>10.240000000000002</v>
      </c>
      <c r="C30" s="7">
        <f t="shared" si="1"/>
        <v>1.8431999999999997</v>
      </c>
      <c r="D30" s="7">
        <v>47062669.836956523</v>
      </c>
      <c r="E30" s="7">
        <v>8923802139.9456539</v>
      </c>
      <c r="F30" s="7">
        <f t="shared" si="2"/>
        <v>0.99153357110507268</v>
      </c>
      <c r="G30" s="7">
        <f t="shared" si="3"/>
        <v>5.2291855374396139</v>
      </c>
      <c r="H30" s="7">
        <f t="shared" si="4"/>
        <v>2.8347335711050725</v>
      </c>
      <c r="I30" s="7">
        <f t="shared" si="5"/>
        <v>15.469185537439616</v>
      </c>
    </row>
    <row r="31" spans="1:17" x14ac:dyDescent="0.25">
      <c r="A31" s="7">
        <v>1</v>
      </c>
      <c r="B31" s="7">
        <f>$B$3/1.5*$B$4*$B$6*$A31</f>
        <v>16</v>
      </c>
      <c r="C31" s="7">
        <v>0</v>
      </c>
      <c r="D31" s="7">
        <v>56247809.782608695</v>
      </c>
      <c r="E31" s="7">
        <v>8105308451.0869579</v>
      </c>
      <c r="F31" s="7">
        <f t="shared" si="2"/>
        <v>0.90058982789855091</v>
      </c>
      <c r="G31" s="7">
        <f t="shared" si="3"/>
        <v>6.249756642512077</v>
      </c>
      <c r="H31" s="7">
        <f t="shared" si="4"/>
        <v>0.90058982789855091</v>
      </c>
      <c r="I31" s="7">
        <f t="shared" si="5"/>
        <v>22.249756642512075</v>
      </c>
    </row>
    <row r="32" spans="1:17" x14ac:dyDescent="0.25">
      <c r="A32" s="7">
        <v>1.2</v>
      </c>
      <c r="B32" s="7">
        <f>$B$3/1.5*$B$4*$B$6</f>
        <v>16</v>
      </c>
      <c r="C32" s="7">
        <v>0</v>
      </c>
      <c r="D32" s="7">
        <v>61719913.949275367</v>
      </c>
      <c r="E32" s="7">
        <v>7468460846.9202919</v>
      </c>
      <c r="F32" s="7">
        <f t="shared" si="2"/>
        <v>0.82982898299114349</v>
      </c>
      <c r="G32" s="7">
        <f t="shared" si="3"/>
        <v>6.8577682165861518</v>
      </c>
      <c r="H32" s="7">
        <f t="shared" si="4"/>
        <v>0.82982898299114349</v>
      </c>
      <c r="I32" s="7">
        <f t="shared" si="5"/>
        <v>22.857768216586152</v>
      </c>
    </row>
    <row r="33" spans="1:9" x14ac:dyDescent="0.25">
      <c r="A33" s="7">
        <v>1.4</v>
      </c>
      <c r="B33" s="7">
        <f t="shared" ref="B33:B41" si="6">$B$3/1.5*$B$4*$B$6</f>
        <v>16</v>
      </c>
      <c r="C33" s="7">
        <v>0</v>
      </c>
      <c r="D33" s="7">
        <v>64888355.978260867</v>
      </c>
      <c r="E33" s="7">
        <v>6980260529.8913059</v>
      </c>
      <c r="F33" s="7">
        <f t="shared" si="2"/>
        <v>0.77558450332125617</v>
      </c>
      <c r="G33" s="7">
        <f t="shared" si="3"/>
        <v>7.2098173309178746</v>
      </c>
      <c r="H33" s="7">
        <f t="shared" si="4"/>
        <v>0.77558450332125617</v>
      </c>
      <c r="I33" s="7">
        <f t="shared" si="5"/>
        <v>23.209817330917875</v>
      </c>
    </row>
    <row r="34" spans="1:9" x14ac:dyDescent="0.25">
      <c r="A34" s="7">
        <v>1.6</v>
      </c>
      <c r="B34" s="7">
        <f t="shared" si="6"/>
        <v>16</v>
      </c>
      <c r="C34" s="7">
        <v>0</v>
      </c>
      <c r="D34" s="7">
        <v>66779128.736413039</v>
      </c>
      <c r="E34" s="7">
        <v>6638109587.2961979</v>
      </c>
      <c r="F34" s="7">
        <f t="shared" si="2"/>
        <v>0.73756773192179981</v>
      </c>
      <c r="G34" s="7">
        <f t="shared" si="3"/>
        <v>7.4199031929347825</v>
      </c>
      <c r="H34" s="7">
        <f t="shared" si="4"/>
        <v>0.73756773192179981</v>
      </c>
      <c r="I34" s="7">
        <f t="shared" si="5"/>
        <v>23.419903192934783</v>
      </c>
    </row>
    <row r="35" spans="1:9" x14ac:dyDescent="0.25">
      <c r="A35" s="7">
        <v>1.8</v>
      </c>
      <c r="B35" s="7">
        <f t="shared" si="6"/>
        <v>16</v>
      </c>
      <c r="C35" s="7">
        <v>0</v>
      </c>
      <c r="D35" s="7">
        <v>67818121.980676323</v>
      </c>
      <c r="E35" s="7">
        <v>6420389855.0724659</v>
      </c>
      <c r="F35" s="7">
        <f t="shared" si="2"/>
        <v>0.71337665056360733</v>
      </c>
      <c r="G35" s="7">
        <f t="shared" si="3"/>
        <v>7.5353468867418139</v>
      </c>
      <c r="H35" s="7">
        <f t="shared" si="4"/>
        <v>0.71337665056360733</v>
      </c>
      <c r="I35" s="7">
        <f t="shared" si="5"/>
        <v>23.535346886741813</v>
      </c>
    </row>
    <row r="36" spans="1:9" x14ac:dyDescent="0.25">
      <c r="A36" s="7">
        <v>2</v>
      </c>
      <c r="B36" s="7">
        <f t="shared" si="6"/>
        <v>16</v>
      </c>
      <c r="C36" s="7">
        <v>0</v>
      </c>
      <c r="D36" s="7">
        <v>68260869.565217391</v>
      </c>
      <c r="E36" s="7">
        <v>6314130434.7826109</v>
      </c>
      <c r="F36" s="7">
        <f t="shared" si="2"/>
        <v>0.70157004830917902</v>
      </c>
      <c r="G36" s="7">
        <f t="shared" si="3"/>
        <v>7.5845410628019323</v>
      </c>
      <c r="H36" s="7">
        <f t="shared" si="4"/>
        <v>0.70157004830917902</v>
      </c>
      <c r="I36" s="7">
        <f t="shared" si="5"/>
        <v>23.584541062801932</v>
      </c>
    </row>
    <row r="37" spans="1:9" x14ac:dyDescent="0.25">
      <c r="A37" s="7">
        <v>2.2000000000000002</v>
      </c>
      <c r="B37" s="7">
        <f t="shared" si="6"/>
        <v>16</v>
      </c>
      <c r="C37" s="7">
        <v>0</v>
      </c>
      <c r="D37" s="7">
        <v>68260869.565217391</v>
      </c>
      <c r="E37" s="7">
        <v>6314130434.7826109</v>
      </c>
      <c r="F37" s="7">
        <f t="shared" si="2"/>
        <v>0.70157004830917902</v>
      </c>
      <c r="G37" s="7">
        <f t="shared" si="3"/>
        <v>7.5845410628019323</v>
      </c>
      <c r="H37" s="7">
        <f t="shared" si="4"/>
        <v>0.70157004830917902</v>
      </c>
      <c r="I37" s="7">
        <f t="shared" si="5"/>
        <v>23.584541062801932</v>
      </c>
    </row>
    <row r="38" spans="1:9" x14ac:dyDescent="0.25">
      <c r="A38" s="7">
        <v>2.4</v>
      </c>
      <c r="B38" s="7">
        <f t="shared" si="6"/>
        <v>16</v>
      </c>
      <c r="C38" s="7">
        <v>0</v>
      </c>
      <c r="D38" s="7">
        <v>68260869.565217391</v>
      </c>
      <c r="E38" s="7">
        <v>6314130434.7826109</v>
      </c>
      <c r="F38" s="7">
        <f t="shared" si="2"/>
        <v>0.70157004830917902</v>
      </c>
      <c r="G38" s="7">
        <f t="shared" si="3"/>
        <v>7.5845410628019323</v>
      </c>
      <c r="H38" s="7">
        <f t="shared" si="4"/>
        <v>0.70157004830917902</v>
      </c>
      <c r="I38" s="7">
        <f t="shared" si="5"/>
        <v>23.584541062801932</v>
      </c>
    </row>
    <row r="39" spans="1:9" x14ac:dyDescent="0.25">
      <c r="A39" s="7">
        <v>2.6</v>
      </c>
      <c r="B39" s="7">
        <f t="shared" si="6"/>
        <v>16</v>
      </c>
      <c r="C39" s="7">
        <v>0</v>
      </c>
      <c r="D39" s="7">
        <v>68260869.565217391</v>
      </c>
      <c r="E39" s="7">
        <v>6314130434.7826109</v>
      </c>
      <c r="F39" s="7">
        <f t="shared" si="2"/>
        <v>0.70157004830917902</v>
      </c>
      <c r="G39" s="7">
        <f t="shared" si="3"/>
        <v>7.5845410628019323</v>
      </c>
      <c r="H39" s="7">
        <f t="shared" si="4"/>
        <v>0.70157004830917902</v>
      </c>
      <c r="I39" s="7">
        <f t="shared" si="5"/>
        <v>23.584541062801932</v>
      </c>
    </row>
    <row r="40" spans="1:9" x14ac:dyDescent="0.25">
      <c r="A40" s="7">
        <v>2.8</v>
      </c>
      <c r="B40" s="7">
        <f t="shared" si="6"/>
        <v>16</v>
      </c>
      <c r="C40" s="7">
        <v>0</v>
      </c>
      <c r="D40" s="7">
        <v>68260869.565217391</v>
      </c>
      <c r="E40" s="7">
        <v>6314130434.7826109</v>
      </c>
      <c r="F40" s="7">
        <f t="shared" si="2"/>
        <v>0.70157004830917902</v>
      </c>
      <c r="G40" s="7">
        <f t="shared" si="3"/>
        <v>7.5845410628019323</v>
      </c>
      <c r="H40" s="7">
        <f t="shared" si="4"/>
        <v>0.70157004830917902</v>
      </c>
      <c r="I40" s="7">
        <f t="shared" si="5"/>
        <v>23.584541062801932</v>
      </c>
    </row>
    <row r="41" spans="1:9" x14ac:dyDescent="0.25">
      <c r="A41" s="7">
        <v>3</v>
      </c>
      <c r="B41" s="7">
        <f t="shared" si="6"/>
        <v>16</v>
      </c>
      <c r="C41" s="7">
        <v>0</v>
      </c>
      <c r="D41" s="7">
        <v>68260869.565217391</v>
      </c>
      <c r="E41" s="7">
        <v>6314130434.7826109</v>
      </c>
      <c r="F41" s="7">
        <f t="shared" si="2"/>
        <v>0.70157004830917902</v>
      </c>
      <c r="G41" s="7">
        <f t="shared" si="3"/>
        <v>7.5845410628019323</v>
      </c>
      <c r="H41" s="7">
        <f t="shared" si="4"/>
        <v>0.70157004830917902</v>
      </c>
      <c r="I41" s="7">
        <f t="shared" si="5"/>
        <v>23.584541062801932</v>
      </c>
    </row>
    <row r="43" spans="1:9" x14ac:dyDescent="0.25">
      <c r="C43">
        <f>check!C2/(check!C5*check!C6*1000)</f>
        <v>0.88888888888888884</v>
      </c>
      <c r="D43">
        <f>check!C3/(check!C5*check!C5*check!C6*1000)</f>
        <v>0.1111111111111111</v>
      </c>
      <c r="E43">
        <f>0.567*0.8*C8*B3*0.617*C9</f>
        <v>60452179.200000003</v>
      </c>
      <c r="F43">
        <v>21073194.245032068</v>
      </c>
      <c r="G43">
        <v>10841431482.761963</v>
      </c>
      <c r="H43">
        <v>0</v>
      </c>
      <c r="I43">
        <f>(E43+F43)/(C8*C9)</f>
        <v>9.0583748272257854</v>
      </c>
    </row>
    <row r="44" spans="1:9" x14ac:dyDescent="0.25">
      <c r="H44">
        <f>MAX(H27:H41)+0.5</f>
        <v>3.6106605651167469</v>
      </c>
      <c r="I44">
        <f>(E43+F43)/(C8*C9)</f>
        <v>9.0583748272257854</v>
      </c>
    </row>
  </sheetData>
  <mergeCells count="10">
    <mergeCell ref="J29:Q29"/>
    <mergeCell ref="J7:Q7"/>
    <mergeCell ref="J27:Q27"/>
    <mergeCell ref="A14:C14"/>
    <mergeCell ref="A24:I24"/>
    <mergeCell ref="A25:A26"/>
    <mergeCell ref="B25:B26"/>
    <mergeCell ref="C25:C26"/>
    <mergeCell ref="F25:F26"/>
    <mergeCell ref="G25:G26"/>
  </mergeCells>
  <pageMargins left="1.5" right="0.8" top="1" bottom="1.25" header="0.31496062992125984" footer="0.31496062992125984"/>
  <pageSetup scale="89" orientation="portrait" r:id="rId1"/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5.graph2">
                <anchor moveWithCells="1" sizeWithCells="1">
                  <from>
                    <xdr:col>12</xdr:col>
                    <xdr:colOff>57150</xdr:colOff>
                    <xdr:row>3</xdr:row>
                    <xdr:rowOff>57150</xdr:rowOff>
                  </from>
                  <to>
                    <xdr:col>13</xdr:col>
                    <xdr:colOff>476250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check</vt:lpstr>
      <vt:lpstr>Y</vt:lpstr>
      <vt:lpstr>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2021-05-31T07:55:43Z</cp:lastPrinted>
  <dcterms:created xsi:type="dcterms:W3CDTF">2021-03-08T06:06:17Z</dcterms:created>
  <dcterms:modified xsi:type="dcterms:W3CDTF">2021-07-05T05:33:29Z</dcterms:modified>
</cp:coreProperties>
</file>